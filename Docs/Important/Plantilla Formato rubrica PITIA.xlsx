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uarios\1130613425\Downloads\"/>
    </mc:Choice>
  </mc:AlternateContent>
  <xr:revisionPtr revIDLastSave="0" documentId="8_{F2BF76E1-78B4-4763-ACB0-54DEFC6E8B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RMACIÓN_GENERAL" sheetId="1" r:id="rId1"/>
    <sheet name="EVALUACION" sheetId="2" r:id="rId2"/>
    <sheet name="Rúbrica" sheetId="3" r:id="rId3"/>
    <sheet name="MAPEO" sheetId="4" r:id="rId4"/>
    <sheet name="ASSESSMENT" sheetId="5" r:id="rId5"/>
    <sheet name="Rúbrica_JURADO" sheetId="6" state="hidden" r:id="rId6"/>
    <sheet name="Rubrica Seguimiento" sheetId="7" state="hidden" r:id="rId7"/>
    <sheet name="Hoja1" sheetId="8" state="hidden" r:id="rId8"/>
    <sheet name="Matriz de cruce Meritorio" sheetId="9" state="hidden" r:id="rId9"/>
    <sheet name="Ribrica Meritoria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" i="6" l="1"/>
  <c r="G20" i="6"/>
  <c r="G19" i="6"/>
  <c r="G18" i="6"/>
  <c r="G17" i="6"/>
  <c r="G16" i="6"/>
  <c r="G15" i="6"/>
  <c r="G14" i="6"/>
  <c r="E24" i="5"/>
  <c r="G24" i="5" s="1"/>
  <c r="E17" i="5"/>
  <c r="G17" i="5" s="1"/>
  <c r="E16" i="5"/>
  <c r="G16" i="5" s="1"/>
  <c r="F52" i="4"/>
  <c r="D26" i="5" s="1"/>
  <c r="F43" i="4"/>
  <c r="D17" i="5" s="1"/>
  <c r="F40" i="4"/>
  <c r="D14" i="5" s="1"/>
  <c r="C30" i="4"/>
  <c r="C29" i="4"/>
  <c r="F54" i="4" s="1"/>
  <c r="D28" i="5" s="1"/>
  <c r="C28" i="4"/>
  <c r="F53" i="4" s="1"/>
  <c r="D27" i="5" s="1"/>
  <c r="C27" i="4"/>
  <c r="C26" i="4"/>
  <c r="F51" i="4" s="1"/>
  <c r="D25" i="5" s="1"/>
  <c r="C20" i="4"/>
  <c r="F45" i="4" s="1"/>
  <c r="D19" i="5" s="1"/>
  <c r="C19" i="4"/>
  <c r="F44" i="4" s="1"/>
  <c r="D18" i="5" s="1"/>
  <c r="C18" i="4"/>
  <c r="B18" i="4"/>
  <c r="C17" i="4"/>
  <c r="F42" i="4" s="1"/>
  <c r="D16" i="5" s="1"/>
  <c r="C16" i="4"/>
  <c r="F41" i="4" s="1"/>
  <c r="D15" i="5" s="1"/>
  <c r="C12" i="4"/>
  <c r="F38" i="4" s="1"/>
  <c r="D12" i="5" s="1"/>
  <c r="H33" i="3"/>
  <c r="G33" i="3" s="1"/>
  <c r="H32" i="3"/>
  <c r="G32" i="3" s="1"/>
  <c r="H31" i="3"/>
  <c r="E11" i="5" s="1"/>
  <c r="H30" i="3"/>
  <c r="G30" i="3" s="1"/>
  <c r="H29" i="3"/>
  <c r="E14" i="5" s="1"/>
  <c r="G14" i="5" s="1"/>
  <c r="G29" i="3"/>
  <c r="H28" i="3"/>
  <c r="E28" i="5" s="1"/>
  <c r="G28" i="5" s="1"/>
  <c r="G28" i="3"/>
  <c r="H27" i="3"/>
  <c r="E27" i="5" s="1"/>
  <c r="H26" i="3"/>
  <c r="E26" i="5" s="1"/>
  <c r="G26" i="3"/>
  <c r="H25" i="3"/>
  <c r="E25" i="5" s="1"/>
  <c r="G25" i="3"/>
  <c r="H24" i="3"/>
  <c r="G24" i="3" s="1"/>
  <c r="H23" i="3"/>
  <c r="E23" i="5" s="1"/>
  <c r="G23" i="5" s="1"/>
  <c r="H22" i="3"/>
  <c r="E22" i="5" s="1"/>
  <c r="G22" i="5" s="1"/>
  <c r="H21" i="3"/>
  <c r="E21" i="5" s="1"/>
  <c r="H20" i="3"/>
  <c r="E20" i="5" s="1"/>
  <c r="G20" i="3"/>
  <c r="H19" i="3"/>
  <c r="E19" i="5" s="1"/>
  <c r="H18" i="3"/>
  <c r="E18" i="5" s="1"/>
  <c r="G18" i="5" s="1"/>
  <c r="H17" i="3"/>
  <c r="G17" i="3"/>
  <c r="H16" i="3"/>
  <c r="G16" i="3" s="1"/>
  <c r="H15" i="3"/>
  <c r="E15" i="5" s="1"/>
  <c r="G15" i="3"/>
  <c r="H14" i="3"/>
  <c r="G14" i="3" s="1"/>
  <c r="H13" i="3"/>
  <c r="G13" i="3"/>
  <c r="H12" i="3"/>
  <c r="G12" i="3" s="1"/>
  <c r="H11" i="3"/>
  <c r="E12" i="5" s="1"/>
  <c r="G41" i="2"/>
  <c r="C41" i="2"/>
  <c r="F40" i="2"/>
  <c r="C34" i="4" s="1"/>
  <c r="F39" i="2"/>
  <c r="C33" i="4" s="1"/>
  <c r="F38" i="2"/>
  <c r="C32" i="4" s="1"/>
  <c r="F37" i="4" s="1"/>
  <c r="D11" i="5" s="1"/>
  <c r="F37" i="2"/>
  <c r="C31" i="4" s="1"/>
  <c r="C37" i="2"/>
  <c r="B37" i="2"/>
  <c r="B31" i="4" s="1"/>
  <c r="F36" i="2"/>
  <c r="F35" i="2"/>
  <c r="F34" i="2"/>
  <c r="F33" i="2"/>
  <c r="F32" i="2"/>
  <c r="F31" i="2"/>
  <c r="C25" i="4" s="1"/>
  <c r="F50" i="4" s="1"/>
  <c r="D24" i="5" s="1"/>
  <c r="F30" i="2"/>
  <c r="C24" i="4" s="1"/>
  <c r="F49" i="4" s="1"/>
  <c r="D23" i="5" s="1"/>
  <c r="F29" i="2"/>
  <c r="C23" i="4" s="1"/>
  <c r="F48" i="4" s="1"/>
  <c r="D22" i="5" s="1"/>
  <c r="F28" i="2"/>
  <c r="C22" i="4" s="1"/>
  <c r="F47" i="4" s="1"/>
  <c r="D21" i="5" s="1"/>
  <c r="F27" i="2"/>
  <c r="C21" i="4" s="1"/>
  <c r="F46" i="4" s="1"/>
  <c r="D20" i="5" s="1"/>
  <c r="C27" i="2"/>
  <c r="B27" i="2"/>
  <c r="B21" i="4" s="1"/>
  <c r="F26" i="2"/>
  <c r="F25" i="2"/>
  <c r="F24" i="2"/>
  <c r="C24" i="2"/>
  <c r="B24" i="2"/>
  <c r="F23" i="2"/>
  <c r="F22" i="2"/>
  <c r="C22" i="2"/>
  <c r="B22" i="2"/>
  <c r="B16" i="4" s="1"/>
  <c r="F21" i="2"/>
  <c r="C15" i="4" s="1"/>
  <c r="F20" i="2"/>
  <c r="C14" i="4" s="1"/>
  <c r="F19" i="2"/>
  <c r="C13" i="4" s="1"/>
  <c r="F39" i="4" s="1"/>
  <c r="D13" i="5" s="1"/>
  <c r="F18" i="2"/>
  <c r="C18" i="2"/>
  <c r="B18" i="2"/>
  <c r="B12" i="4" s="1"/>
  <c r="G22" i="3" l="1"/>
  <c r="G31" i="3"/>
  <c r="G27" i="3"/>
  <c r="G23" i="3"/>
  <c r="G21" i="3"/>
  <c r="G19" i="3"/>
  <c r="G18" i="3"/>
  <c r="E13" i="5"/>
  <c r="G13" i="5" s="1"/>
  <c r="G11" i="3"/>
  <c r="G26" i="5"/>
  <c r="F26" i="5"/>
  <c r="G15" i="5"/>
  <c r="F15" i="5"/>
  <c r="G21" i="5"/>
  <c r="F21" i="5"/>
  <c r="G27" i="5"/>
  <c r="F27" i="5"/>
  <c r="G12" i="5"/>
  <c r="F12" i="5"/>
  <c r="G20" i="5"/>
  <c r="F20" i="5"/>
  <c r="G19" i="5"/>
  <c r="F19" i="5"/>
  <c r="G25" i="5"/>
  <c r="F25" i="5"/>
  <c r="G11" i="5"/>
  <c r="F11" i="5"/>
  <c r="F16" i="5"/>
  <c r="F22" i="5"/>
  <c r="F28" i="5"/>
  <c r="F14" i="5"/>
  <c r="F17" i="5"/>
  <c r="F23" i="5"/>
  <c r="F18" i="5"/>
  <c r="F24" i="5"/>
  <c r="F13" i="5" l="1"/>
</calcChain>
</file>

<file path=xl/sharedStrings.xml><?xml version="1.0" encoding="utf-8"?>
<sst xmlns="http://schemas.openxmlformats.org/spreadsheetml/2006/main" count="439" uniqueCount="332">
  <si>
    <t>Código del Proyecto</t>
  </si>
  <si>
    <t>Título del Proyecto</t>
  </si>
  <si>
    <t>Nombre(s) Estudiante(s)</t>
  </si>
  <si>
    <t>Profesor del curso:</t>
  </si>
  <si>
    <t>Nombre del Mentor:</t>
  </si>
  <si>
    <t>Nombre del Representante Empresa:</t>
  </si>
  <si>
    <t>Niveles de Proficiencia</t>
  </si>
  <si>
    <t>Valor Numérico</t>
  </si>
  <si>
    <t>Nivel 4: Excede el Estándar</t>
  </si>
  <si>
    <t>5,0 - 4,5</t>
  </si>
  <si>
    <t>Nivel 3: Logra el Estándar</t>
  </si>
  <si>
    <t>4,4 - 3,8</t>
  </si>
  <si>
    <t>Nivel 2: Se acerca al Estándar</t>
  </si>
  <si>
    <t>3,7 - 3,0</t>
  </si>
  <si>
    <t>Nivel 1: NO cumple con el estándar</t>
  </si>
  <si>
    <t>2,9 - 1.0</t>
  </si>
  <si>
    <t>EVALUACIÓN GENERAL</t>
  </si>
  <si>
    <t xml:space="preserve">Criterio </t>
  </si>
  <si>
    <t>Porcentaje</t>
  </si>
  <si>
    <t>Evaluador</t>
  </si>
  <si>
    <t>Detalle</t>
  </si>
  <si>
    <t>Ponderación</t>
  </si>
  <si>
    <t>Evaluación Numérica</t>
  </si>
  <si>
    <t>Empresa</t>
  </si>
  <si>
    <t>Mentor</t>
  </si>
  <si>
    <t>X</t>
  </si>
  <si>
    <t>EVALUACIÓN</t>
  </si>
  <si>
    <t>Nivel de Proficiencia alcanzado</t>
  </si>
  <si>
    <t>Valor Numerico</t>
  </si>
  <si>
    <t>5,0-4,5</t>
  </si>
  <si>
    <t>3,7- 3,0</t>
  </si>
  <si>
    <t>Total</t>
  </si>
  <si>
    <t>Escritura del documento</t>
  </si>
  <si>
    <t>Ortografía, vocabulario, gramática.</t>
  </si>
  <si>
    <r>
      <rPr>
        <sz val="10"/>
        <color theme="1"/>
        <rFont val="Arial"/>
      </rPr>
      <t xml:space="preserve">El documento está </t>
    </r>
    <r>
      <rPr>
        <b/>
        <u/>
        <sz val="10"/>
        <color theme="1"/>
        <rFont val="Arial"/>
      </rPr>
      <t xml:space="preserve">escrito sin errores ortográficos </t>
    </r>
    <r>
      <rPr>
        <sz val="10"/>
        <color theme="1"/>
        <rFont val="Arial"/>
      </rPr>
      <t xml:space="preserve">y los autores </t>
    </r>
    <r>
      <rPr>
        <b/>
        <sz val="10"/>
        <color theme="1"/>
        <rFont val="Arial"/>
      </rPr>
      <t>us</t>
    </r>
    <r>
      <rPr>
        <b/>
        <u/>
        <sz val="10"/>
        <color theme="1"/>
        <rFont val="Arial"/>
      </rPr>
      <t>an un vocabulario técnico acorde con el dominio del problema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</si>
  <si>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El documento está </t>
    </r>
    <r>
      <rPr>
        <b/>
        <u/>
        <sz val="10"/>
        <color theme="1"/>
        <rFont val="Arial"/>
      </rPr>
      <t xml:space="preserve">escrito sin notables errores ortográficos </t>
    </r>
    <r>
      <rPr>
        <sz val="10"/>
        <color theme="1"/>
        <rFont val="Arial"/>
      </rPr>
      <t xml:space="preserve">y los autores usan un </t>
    </r>
    <r>
      <rPr>
        <b/>
        <u/>
        <sz val="10"/>
        <color theme="1"/>
        <rFont val="Arial"/>
      </rPr>
      <t>vocabulario técnico acorde con el dominio del problema.</t>
    </r>
  </si>
  <si>
    <r>
      <rPr>
        <sz val="10"/>
        <color theme="1"/>
        <rFont val="Arial"/>
      </rPr>
      <t xml:space="preserve">La </t>
    </r>
    <r>
      <rPr>
        <b/>
        <u/>
        <sz val="10"/>
        <color theme="1"/>
        <rFont val="Arial"/>
      </rPr>
      <t xml:space="preserve">mayoría de las secciones </t>
    </r>
    <r>
      <rPr>
        <sz val="10"/>
        <color theme="1"/>
        <rFont val="Arial"/>
      </rPr>
      <t xml:space="preserve">del documento </t>
    </r>
    <r>
      <rPr>
        <b/>
        <u/>
        <sz val="10"/>
        <color theme="1"/>
        <rFont val="Arial"/>
      </rPr>
      <t>no tienen notables errores ortográficos</t>
    </r>
    <r>
      <rPr>
        <sz val="10"/>
        <color theme="1"/>
        <rFont val="Arial"/>
      </rPr>
      <t>, y en ellas, los autores utilizan un</t>
    </r>
    <r>
      <rPr>
        <b/>
        <u/>
        <sz val="10"/>
        <color theme="1"/>
        <rFont val="Arial"/>
      </rPr>
      <t xml:space="preserve"> vocabulario técnico acorde con el dominio del problema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</si>
  <si>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El documento tiene </t>
    </r>
    <r>
      <rPr>
        <b/>
        <u/>
        <sz val="10"/>
        <color theme="1"/>
        <rFont val="Arial"/>
      </rPr>
      <t>errores ortográficos en todas las seccione</t>
    </r>
    <r>
      <rPr>
        <sz val="10"/>
        <color theme="1"/>
        <rFont val="Arial"/>
      </rPr>
      <t xml:space="preserve">s, y en ellas, los autores utilizan un </t>
    </r>
    <r>
      <rPr>
        <b/>
        <u/>
        <sz val="10"/>
        <color theme="1"/>
        <rFont val="Arial"/>
      </rPr>
      <t>vocabulario técnico acorde con el dominio del problema</t>
    </r>
    <r>
      <rPr>
        <sz val="10"/>
        <color theme="1"/>
        <rFont val="Arial"/>
      </rPr>
      <t xml:space="preserve">. Sin embargo, su utilización ofrece </t>
    </r>
    <r>
      <rPr>
        <b/>
        <u/>
        <sz val="10"/>
        <color theme="1"/>
        <rFont val="Arial"/>
      </rPr>
      <t>oportunidades de mejora</t>
    </r>
  </si>
  <si>
    <t>Cohesión y coherencia.</t>
  </si>
  <si>
    <t>Los párrafos del documento permiten desarrollar y comprender el tema, las ideas en los párrafos están conectadas adecuadamente</t>
  </si>
  <si>
    <r>
      <rPr>
        <sz val="10"/>
        <color theme="1"/>
        <rFont val="Arial"/>
      </rPr>
      <t xml:space="preserve">En la </t>
    </r>
    <r>
      <rPr>
        <b/>
        <u/>
        <sz val="10"/>
        <color theme="1"/>
        <rFont val="Arial"/>
      </rPr>
      <t>mayoría de los  párrafos del documento</t>
    </r>
    <r>
      <rPr>
        <sz val="10"/>
        <color theme="1"/>
        <rFont val="Arial"/>
      </rPr>
      <t>, las oraciones están conectadas adecuadamente facilitando el entendimiento del tema y el razonamiento que realiza el autor</t>
    </r>
  </si>
  <si>
    <r>
      <rPr>
        <sz val="10"/>
        <color theme="1"/>
        <rFont val="Arial"/>
      </rPr>
      <t xml:space="preserve">En </t>
    </r>
    <r>
      <rPr>
        <b/>
        <u/>
        <sz val="10"/>
        <color theme="1"/>
        <rFont val="Arial"/>
      </rPr>
      <t>algunos párrafos del documento</t>
    </r>
    <r>
      <rPr>
        <sz val="10"/>
        <color theme="1"/>
        <rFont val="Arial"/>
      </rPr>
      <t xml:space="preserve">, las </t>
    </r>
    <r>
      <rPr>
        <b/>
        <u/>
        <sz val="10"/>
        <color theme="1"/>
        <rFont val="Arial"/>
      </rPr>
      <t>oraciones no están conectadas adecuadamente</t>
    </r>
    <r>
      <rPr>
        <b/>
        <sz val="10"/>
        <color theme="1"/>
        <rFont val="Arial"/>
      </rPr>
      <t xml:space="preserve">, </t>
    </r>
    <r>
      <rPr>
        <sz val="10"/>
        <color theme="1"/>
        <rFont val="Arial"/>
      </rPr>
      <t xml:space="preserve"> dificultando el entendimiento del tema y el razonamiento del autor</t>
    </r>
  </si>
  <si>
    <r>
      <rPr>
        <sz val="10"/>
        <color theme="1"/>
        <rFont val="Arial"/>
      </rPr>
      <t xml:space="preserve">En </t>
    </r>
    <r>
      <rPr>
        <b/>
        <u/>
        <sz val="10"/>
        <color theme="1"/>
        <rFont val="Arial"/>
      </rPr>
      <t>algunos párrafos del documento, las oraciones no están conectadas adecuadamente</t>
    </r>
    <r>
      <rPr>
        <sz val="10"/>
        <color theme="1"/>
        <rFont val="Arial"/>
      </rPr>
      <t xml:space="preserve">, </t>
    </r>
    <r>
      <rPr>
        <b/>
        <u/>
        <sz val="10"/>
        <color theme="1"/>
        <rFont val="Arial"/>
      </rPr>
      <t>impidiendo</t>
    </r>
    <r>
      <rPr>
        <sz val="10"/>
        <color theme="1"/>
        <rFont val="Arial"/>
      </rPr>
      <t xml:space="preserve">  el entendimiento del tema y el razonamiento del autor</t>
    </r>
  </si>
  <si>
    <t>Citaciones y Bibliografía</t>
  </si>
  <si>
    <t>El documento utiliza producción ajena de manera apropiada (citación textual, ampliación, parafraseo), identifica la fuente, y emplea de forma consistente el formato de citación y referencia.</t>
  </si>
  <si>
    <r>
      <rPr>
        <sz val="10"/>
        <color theme="1"/>
        <rFont val="Arial"/>
      </rPr>
      <t>El documento utiliza producción ajena de manera apropiada, identifica la fuente, pero</t>
    </r>
    <r>
      <rPr>
        <b/>
        <u/>
        <sz val="10"/>
        <color theme="1"/>
        <rFont val="Arial"/>
      </rPr>
      <t xml:space="preserve"> en algunas citaciones no emplea de forma consistente el formato de citación y referencia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</si>
  <si>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El documento utiliza producción ajena de manera apropiada, identifica la fuente, pero </t>
    </r>
    <r>
      <rPr>
        <b/>
        <u/>
        <sz val="10"/>
        <color theme="1"/>
        <rFont val="Arial"/>
      </rPr>
      <t>no emplea el formato de citación y referencia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</si>
  <si>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El documento </t>
    </r>
    <r>
      <rPr>
        <b/>
        <u/>
        <sz val="10"/>
        <color theme="1"/>
        <rFont val="Arial"/>
      </rPr>
      <t>utiliza producción ajena de forma inadecuada</t>
    </r>
    <r>
      <rPr>
        <sz val="10"/>
        <color theme="1"/>
        <rFont val="Arial"/>
      </rPr>
      <t xml:space="preserve"> y </t>
    </r>
    <r>
      <rPr>
        <b/>
        <u/>
        <sz val="10"/>
        <color theme="1"/>
        <rFont val="Arial"/>
      </rPr>
      <t>no emplea los formatos de citación en forma correcta</t>
    </r>
  </si>
  <si>
    <t>Estructura IMRC</t>
  </si>
  <si>
    <t>El documento utiliza fuentes de información indexada y no indexada (literatura Blanca y Gris) en un equlibrio adecuado</t>
  </si>
  <si>
    <r>
      <rPr>
        <sz val="10"/>
        <color theme="1"/>
        <rFont val="Arial"/>
      </rPr>
      <t xml:space="preserve">El documento utiliza fuentes de información indexada y no indexada (literatura Blanca y Gris) </t>
    </r>
    <r>
      <rPr>
        <b/>
        <sz val="10"/>
        <color theme="1"/>
        <rFont val="Arial"/>
      </rPr>
      <t>predominando</t>
    </r>
    <r>
      <rPr>
        <sz val="10"/>
        <color theme="1"/>
        <rFont val="Arial"/>
      </rPr>
      <t xml:space="preserve"> la información NO indexada (literatura gris)</t>
    </r>
  </si>
  <si>
    <r>
      <rPr>
        <sz val="10"/>
        <color theme="1"/>
        <rFont val="Arial"/>
      </rPr>
      <t xml:space="preserve">El documento utiliza fuentes de información indexada y no indexada (literatura Blanca y Gris) </t>
    </r>
    <r>
      <rPr>
        <b/>
        <sz val="10"/>
        <color theme="1"/>
        <rFont val="Arial"/>
      </rPr>
      <t>predominndo las fuentes de información no indexada y unas pocas referencias indexadas.</t>
    </r>
  </si>
  <si>
    <r>
      <rPr>
        <sz val="10"/>
        <color theme="1"/>
        <rFont val="Arial"/>
      </rPr>
      <t xml:space="preserve">El documento </t>
    </r>
    <r>
      <rPr>
        <b/>
        <u/>
        <sz val="10"/>
        <color theme="1"/>
        <rFont val="Arial"/>
      </rPr>
      <t>NO utiliza</t>
    </r>
    <r>
      <rPr>
        <sz val="10"/>
        <color theme="1"/>
        <rFont val="Arial"/>
      </rPr>
      <t xml:space="preserve"> producción indexada, solo utiliza información no indexada (literatura gris).</t>
    </r>
  </si>
  <si>
    <t>Fundamentación Teórica</t>
  </si>
  <si>
    <t>Marco Teórico</t>
  </si>
  <si>
    <t>Identifica los fundamentos y conceptos teóricos  del problema, los relaciona con el proyecto y cita las referencias bibliográficas correspondientes.</t>
  </si>
  <si>
    <r>
      <rPr>
        <sz val="10"/>
        <color theme="1"/>
        <rFont val="Arial"/>
      </rPr>
      <t>Identifica los fundamentos y conceptos teóricos  del problema, los</t>
    </r>
    <r>
      <rPr>
        <b/>
        <u/>
        <sz val="10"/>
        <color theme="1"/>
        <rFont val="Arial"/>
      </rPr>
      <t xml:space="preserve"> relaciona parcialmente </t>
    </r>
    <r>
      <rPr>
        <sz val="10"/>
        <color theme="1"/>
        <rFont val="Arial"/>
      </rPr>
      <t>con el proyecto y cita las referencias bibliográficas correspondientes.</t>
    </r>
  </si>
  <si>
    <r>
      <rPr>
        <sz val="10"/>
        <color theme="1"/>
        <rFont val="Arial"/>
      </rPr>
      <t xml:space="preserve">Identifica los fundamentos y conceptos teóricos  del problema, los </t>
    </r>
    <r>
      <rPr>
        <b/>
        <u/>
        <sz val="10"/>
        <color theme="1"/>
        <rFont val="Arial"/>
      </rPr>
      <t xml:space="preserve">relaciona de forma incorrecta </t>
    </r>
    <r>
      <rPr>
        <sz val="10"/>
        <color theme="1"/>
        <rFont val="Arial"/>
      </rPr>
      <t>con  el proyecto y cita las referencias bibliográficas correspondientes.</t>
    </r>
  </si>
  <si>
    <r>
      <rPr>
        <sz val="10"/>
        <color theme="1"/>
        <rFont val="Arial"/>
      </rPr>
      <t xml:space="preserve">Identifica </t>
    </r>
    <r>
      <rPr>
        <b/>
        <u/>
        <sz val="10"/>
        <color theme="1"/>
        <rFont val="Arial"/>
      </rPr>
      <t xml:space="preserve">ALGUNOS </t>
    </r>
    <r>
      <rPr>
        <sz val="10"/>
        <color theme="1"/>
        <rFont val="Arial"/>
      </rPr>
      <t>fundamentos y conceptos teóricos  del problema y cita las referencias bibliográficas correspondientes.</t>
    </r>
  </si>
  <si>
    <t>Estado del Arte</t>
  </si>
  <si>
    <t>Caracteriza y analiza alternativas de solución propuestas, cita las referencias bibliográficas correspondientes y justifica  las razones por la cuales estas propuestas no dan solución al problema planteado en el contexto identificado.</t>
  </si>
  <si>
    <r>
      <rPr>
        <sz val="10"/>
        <color theme="1"/>
        <rFont val="Arial"/>
      </rPr>
      <t xml:space="preserve">Caracteriza y analiza alternativas de solución propuestas, cita las referencias bibliográficas correspondientes y justifica  las razones por la cuales estas propuestas no dan solución al problema planteado, sin embargo, </t>
    </r>
    <r>
      <rPr>
        <b/>
        <u/>
        <sz val="10"/>
        <color theme="1"/>
        <rFont val="Arial"/>
      </rPr>
      <t>no las relaciona correctamente con el contexto identificado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</si>
  <si>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>Caracteriza y analiza alternativas de solución propuestas, cita las referencias bibliográficas correspondientes y</t>
    </r>
    <r>
      <rPr>
        <b/>
        <u/>
        <sz val="10"/>
        <color theme="1"/>
        <rFont val="Arial"/>
      </rPr>
      <t xml:space="preserve"> NO establece una justificación de las razones </t>
    </r>
    <r>
      <rPr>
        <sz val="10"/>
        <color theme="1"/>
        <rFont val="Arial"/>
      </rPr>
      <t xml:space="preserve">por la cuales estas propuestas no dan solución al problema planteado </t>
    </r>
  </si>
  <si>
    <t xml:space="preserve">Caracteriza y analiza alternativas de solución propuestas y cita las referencias bibliográficas correspondientes </t>
  </si>
  <si>
    <t>Constitución del proyecto</t>
  </si>
  <si>
    <t>Formulación del Problema de Negocio (motivación y antecedentes).</t>
  </si>
  <si>
    <r>
      <rPr>
        <sz val="10"/>
        <color theme="1"/>
        <rFont val="Arial"/>
      </rPr>
      <t>En el documento, se f</t>
    </r>
    <r>
      <rPr>
        <sz val="11"/>
        <color rgb="FF000000"/>
        <rFont val="Calibri"/>
      </rPr>
      <t>ormula</t>
    </r>
    <r>
      <rPr>
        <sz val="10"/>
        <color theme="1"/>
        <rFont val="Arial"/>
      </rPr>
      <t xml:space="preserve"> el problema central, identificando correctamente las </t>
    </r>
    <r>
      <rPr>
        <sz val="11"/>
        <color rgb="FF000000"/>
        <rFont val="Calibri"/>
      </rPr>
      <t xml:space="preserve">causas </t>
    </r>
    <r>
      <rPr>
        <sz val="10"/>
        <color theme="1"/>
        <rFont val="Arial"/>
      </rPr>
      <t>y los</t>
    </r>
    <r>
      <rPr>
        <sz val="11"/>
        <color rgb="FF000000"/>
        <rFont val="Calibri"/>
      </rPr>
      <t xml:space="preserve"> efectos. Las relaciones identificadas están correctamente establecidas.</t>
    </r>
  </si>
  <si>
    <r>
      <rPr>
        <sz val="10"/>
        <color theme="1"/>
        <rFont val="Arial"/>
      </rPr>
      <t>En el documento, se f</t>
    </r>
    <r>
      <rPr>
        <sz val="11"/>
        <color rgb="FF000000"/>
        <rFont val="Calibri"/>
      </rPr>
      <t>ormula</t>
    </r>
    <r>
      <rPr>
        <sz val="10"/>
        <color theme="1"/>
        <rFont val="Arial"/>
      </rPr>
      <t xml:space="preserve"> el problema central, identificando correctamente las </t>
    </r>
    <r>
      <rPr>
        <sz val="11"/>
        <color rgb="FF000000"/>
        <rFont val="Calibri"/>
      </rPr>
      <t xml:space="preserve">causas </t>
    </r>
    <r>
      <rPr>
        <sz val="10"/>
        <color theme="1"/>
        <rFont val="Arial"/>
      </rPr>
      <t>y los</t>
    </r>
    <r>
      <rPr>
        <sz val="11"/>
        <color rgb="FF000000"/>
        <rFont val="Calibri"/>
      </rPr>
      <t xml:space="preserve"> efectos. En las relaciones identificadas, la mayoría están correctamente establecidas.</t>
    </r>
  </si>
  <si>
    <r>
      <rPr>
        <sz val="10"/>
        <color theme="1"/>
        <rFont val="Arial"/>
      </rPr>
      <t>En el documento, se f</t>
    </r>
    <r>
      <rPr>
        <sz val="11"/>
        <color rgb="FF000000"/>
        <rFont val="Calibri"/>
      </rPr>
      <t>ormula</t>
    </r>
    <r>
      <rPr>
        <sz val="10"/>
        <color theme="1"/>
        <rFont val="Arial"/>
      </rPr>
      <t xml:space="preserve"> el problema central, se identifican correctamente las </t>
    </r>
    <r>
      <rPr>
        <sz val="11"/>
        <color rgb="FF000000"/>
        <rFont val="Calibri"/>
      </rPr>
      <t xml:space="preserve">causas </t>
    </r>
    <r>
      <rPr>
        <sz val="10"/>
        <color theme="1"/>
        <rFont val="Arial"/>
      </rPr>
      <t>y los</t>
    </r>
    <r>
      <rPr>
        <sz val="11"/>
        <color rgb="FF000000"/>
        <rFont val="Calibri"/>
      </rPr>
      <t xml:space="preserve"> efectos. </t>
    </r>
    <r>
      <rPr>
        <sz val="10"/>
        <color theme="1"/>
        <rFont val="Arial"/>
      </rPr>
      <t>En las relaciones identificadas, la mayoría están incorrectamente establecidas</t>
    </r>
  </si>
  <si>
    <r>
      <rPr>
        <sz val="10"/>
        <color theme="1"/>
        <rFont val="Arial"/>
      </rPr>
      <t>En el documento, se f</t>
    </r>
    <r>
      <rPr>
        <sz val="11"/>
        <color rgb="FF000000"/>
        <rFont val="Calibri"/>
      </rPr>
      <t>ormula</t>
    </r>
    <r>
      <rPr>
        <sz val="10"/>
        <color theme="1"/>
        <rFont val="Arial"/>
      </rPr>
      <t xml:space="preserve"> el problema central, se identifican correctamente las </t>
    </r>
    <r>
      <rPr>
        <sz val="11"/>
        <color rgb="FF000000"/>
        <rFont val="Calibri"/>
      </rPr>
      <t xml:space="preserve">causas </t>
    </r>
    <r>
      <rPr>
        <sz val="10"/>
        <color theme="1"/>
        <rFont val="Arial"/>
      </rPr>
      <t>y los</t>
    </r>
    <r>
      <rPr>
        <sz val="11"/>
        <color rgb="FF000000"/>
        <rFont val="Calibri"/>
      </rPr>
      <t xml:space="preserve"> efectos, pero no se identifican las relaciones entre ellas</t>
    </r>
  </si>
  <si>
    <t>Objetivos</t>
  </si>
  <si>
    <t>En el documento, se formula el objetivo general a partir del problema central, los objetivos específicos se derivan del objetivo general y todos son verificables</t>
  </si>
  <si>
    <t>En el documento, se formula el objetivo general a partir del problema central, los objetivos específicos se derivan del objetivo general y la mayoría son verificables</t>
  </si>
  <si>
    <t>En el documento, se formula el objetivo general a partir del problema central, los objetivos específicos se derivan del objetivo general y la mayoría no son verificables</t>
  </si>
  <si>
    <t xml:space="preserve"> En el documento, se formula  el objetivo general a partir del problema central, algunos de los objetivos específicos no se derivan del objetivo general</t>
  </si>
  <si>
    <t>Metodología</t>
  </si>
  <si>
    <t>En el desarrollo del proyecto, se aplica  una metodología de ingeniería para dar solución al problema complejo propuesto. La ejecución del 100% de las fases/etapas de la metodología resultan totalmente evidenciables en el documento.</t>
  </si>
  <si>
    <t>En el desarrollo del proyecto, se aplica  una metodología de ingeniería para dar solución al problema complejo propuesto. La ejecución de al menos el 80% de las fases/etapas de la metodología resultan  evidenciable en el documento.</t>
  </si>
  <si>
    <t>En el desarrollo del proyecto, se aplica una metodología de ingeniería para dar solución al problema complejo propuesto. La ejecución de al menos el 60% de las fases/etapas de la metodología resulta  evidenciables en el documento.</t>
  </si>
  <si>
    <t>En el desarrollo del proyecto, se aplica  una metodología de ingeniería  para dar solución al problema complejo propuesto. La ejecución de menos del 60% de las fases/etapas de la metodología resulta evidenciables en el documento.</t>
  </si>
  <si>
    <t>Aplicación de Ciencia de Datos</t>
  </si>
  <si>
    <t>Selección y estudio de viabilidad del dataset para un proyecto de ciencias de datos.</t>
  </si>
  <si>
    <t>El proceso de selección y análisis del dataset demuestra pensamiento crítico, profundidad técnica y rigor metodológico.</t>
  </si>
  <si>
    <t>Se realizó un análisis de viabilidad que incluye calidad, volumen, formato, acceso y estructura de los datos.</t>
  </si>
  <si>
    <t>Se seleccionó un dataset relacionado con el problema, pero con limitaciones claras no abordadas.</t>
  </si>
  <si>
    <t>No se seleccionó un dataset adecuado o relevante para el problema planteado.</t>
  </si>
  <si>
    <t>Identificación del tipo de problema y del paradigma de IA adecuado para abordarlo.</t>
  </si>
  <si>
    <t>El paradigma de IA elegido es óptimo, y la justificación incluye análisis comparativo con otros enfoques posibles.</t>
  </si>
  <si>
    <t>El paradigma de IA seleccionado es adecuado y está bien justificado.</t>
  </si>
  <si>
    <t>El paradigma de IA seleccionado es razonable, pero la justificación es limitada o basada en generalidades.</t>
  </si>
  <si>
    <t>No se identifica claramente el tipo de problema (clasificación, regresión, clustering, etc.).</t>
  </si>
  <si>
    <t>Revisión y justificación sobre el proceso de selección y descarte de features. </t>
  </si>
  <si>
    <t>El proceso demuestra un alto nivel de razonamiento técnico, transparencia metodológica y comprensión del impacto de las features en el desempeño del modelo.</t>
  </si>
  <si>
    <t>Se aplica un proceso sistemático de selección y descarte de features, utilizando criterios técnicos (como análisis de correlación, importancia, multicolinealidad, etc.).</t>
  </si>
  <si>
    <t>Se realiza una selección/descarte parcial de features, pero sin metodología clara o con criterios poco justificados.</t>
  </si>
  <si>
    <t>No se realiza ningún proceso claro de selección o descarte de características (features).</t>
  </si>
  <si>
    <t>Acciones de preprocesamiento y su justificación.</t>
  </si>
  <si>
    <t>Las acciones de preprocesamiento reflejan comprensión profunda del flujo de trabajo en ciencia de datos, del dominio del problema y de las implicaciones en el rendimiento del modelo.</t>
  </si>
  <si>
    <t>Se identifican y abordan adecuadamente los principales problemas del dataset (valores faltantes, escalado, codificación, etc.).</t>
  </si>
  <si>
    <t>Se realizan algunas acciones de preprocesamiento, pero de forma incompleta o con una lógica limitada.</t>
  </si>
  <si>
    <t>No se realiza ningún preprocesamiento o se hace de forma incorrecta.</t>
  </si>
  <si>
    <t>Selección y justificación de los algoritmos de entrenamiento.</t>
  </si>
  <si>
    <t>Se realiza una comparación sistemática de distintos enfoques, incluyendo métricas de rendimiento, complejidad computacional, interpretabilidad y robustez.</t>
  </si>
  <si>
    <t>Se demuestra una comprensión sólida del funcionamiento de los algoritmos y su adecuación al contexto.</t>
  </si>
  <si>
    <t>Se selecciona al menos un algoritmo apropiado, pero con una justificación limitada o superficial.</t>
  </si>
  <si>
    <t>No se selecciona un algoritmo adecuado o se elige sin justificación alguna.</t>
  </si>
  <si>
    <t>Selección y justificación de las métricas de desempeño.</t>
  </si>
  <si>
    <t>Se realiza una selección rigurosa y estratégica de las métricas, considerando aspectos como desbalance, costos del error, impacto en el dominio aplicado, y características del modelo. La justificación incluye análisis comparativo y argumentos técnicos sólidos.</t>
  </si>
  <si>
    <t>Se seleccionan métricas adecuadas al tipo de problema (e.g., precisión, recall, F1, AUC, RMSE, MAE) y al contexto del proyecto.</t>
  </si>
  <si>
    <t>Se seleccionan algunas métricas apropiadas, pero sin una justificación clara o específica.</t>
  </si>
  <si>
    <t>No se seleccionan métricas de evaluación o se utilizan métricas inadecuadas para el tipo de problema.</t>
  </si>
  <si>
    <t>Generación de modelos de IA.</t>
  </si>
  <si>
    <t>Se implementan y comparan múltiples modelos o configuraciones con control detallado de hiperparámetros, regularización, validación cruzada y manejo de sesgos.</t>
  </si>
  <si>
    <t>Se generan uno o más modelos funcionales, aplicando correctamente técnicas de entrenamiento, validación y ajuste básico de hiperparámetros.</t>
  </si>
  <si>
    <t>Se genera al menos un modelo de IA funcional, pero con implementación limitada o poco optimizada.</t>
  </si>
  <si>
    <t>No se logra generar un modelo funcional o el proceso presenta errores críticos.</t>
  </si>
  <si>
    <t>Estrategias de optimización para cada modelo.</t>
  </si>
  <si>
    <t>Se implementa un enfoque riguroso y sistemático de optimización, como búsqueda en malla (Grid Search), aleatoria (Random Search), Bayesian Optimization o AutoML.</t>
  </si>
  <si>
    <t>Se evidencia mejora real en el rendimiento del modelo como resultado de la optimización. La metodología no es muy rigurosa, pero define unos pasos mínimos.</t>
  </si>
  <si>
    <t>Se intenta alguna forma de optimización (por ejemplo, cambio de un hiperparámetro), pero sin metodología clara.</t>
  </si>
  <si>
    <t>No se realiza ninguna optimización del modelo o se hace de forma incorrecta.</t>
  </si>
  <si>
    <t>Comparativo de los modelos de IA a través de la discusión y análisis desde las métricas de desempeño.</t>
  </si>
  <si>
    <t>Se realiza una comparación profunda, crítica y bien estructurada entre todos los modelos implementados. Se analizan posibles razones del comportamiento de cada modelo y se interpretan los resultados con rigor técnico.</t>
  </si>
  <si>
    <t>Se comparan adecuadamente múltiples modelos utilizando varias métricas relevantes. La discusión es clara, con interpretación lógica de los resultados y su relación con el tipo de problema.</t>
  </si>
  <si>
    <t>Se realiza una comparación básica entre modelos, pero sin una discusión clara o con argumentos débiles.</t>
  </si>
  <si>
    <t>No se realiza ningún tipo de comparación entre modelos.</t>
  </si>
  <si>
    <t>VoBO y feedback del stakeholder del sector industria.</t>
  </si>
  <si>
    <t>Se demuestra alineación entre los resultados del proyecto y las necesidades estratégicas o operativas del sector involucrado</t>
  </si>
  <si>
    <t xml:space="preserve">Se demuestra que el modelo o solución se adapta razonablemente a los requerimientos del entorno real.
</t>
  </si>
  <si>
    <t>No queda claro si la solución cumple con las necesidades reales del entorno industrial.</t>
  </si>
  <si>
    <t>No se incluye ningún tipo de retroalimentación por parte del stakeholder.</t>
  </si>
  <si>
    <t>Sustentación</t>
  </si>
  <si>
    <r>
      <rPr>
        <b/>
        <sz val="18"/>
        <color theme="1"/>
        <rFont val="Arial"/>
      </rPr>
      <t xml:space="preserve">Presentación e  Introducción </t>
    </r>
  </si>
  <si>
    <r>
      <rPr>
        <sz val="9"/>
        <color rgb="FF000000"/>
        <rFont val="Arial"/>
      </rPr>
      <t xml:space="preserve">El orador se presenta a la  audiencia, identifica el tema  y establece claramente el  objetivo de la  presentación </t>
    </r>
  </si>
  <si>
    <r>
      <rPr>
        <sz val="9"/>
        <color rgb="FF000000"/>
        <rFont val="Arial"/>
      </rPr>
      <t xml:space="preserve">El orador se presenta a la  audiencia, identifica el  tema y establece   parcialmente el objetivo  de la presentación </t>
    </r>
  </si>
  <si>
    <r>
      <rPr>
        <sz val="9"/>
        <color rgb="FF000000"/>
        <rFont val="Arial"/>
      </rPr>
      <t xml:space="preserve">El orador se presenta a la  audiencia, identifica parcialmente  el  tema y  el objetivo de la  presentación </t>
    </r>
  </si>
  <si>
    <r>
      <rPr>
        <sz val="9"/>
        <color rgb="FF000000"/>
        <rFont val="Arial"/>
      </rPr>
      <t xml:space="preserve">El orador se presenta a la  audiencia, identifica el tema ,  pero  omite el objetivo de la  presentación </t>
    </r>
  </si>
  <si>
    <r>
      <rPr>
        <b/>
        <sz val="18"/>
        <color theme="1"/>
        <rFont val="Arial"/>
      </rPr>
      <t xml:space="preserve">Estructura de la  presentación </t>
    </r>
  </si>
  <si>
    <r>
      <rPr>
        <sz val="9"/>
        <color rgb="FF000000"/>
        <rFont val="Arial"/>
      </rPr>
      <t xml:space="preserve">El orador comunica a la  audiencia la estructura de la  presentación. La estructura  sigue una secuencia lógica  (introducción, contenido,  conclusión) y en ella,  el  orador sigue la estructura  propuesta </t>
    </r>
  </si>
  <si>
    <r>
      <rPr>
        <sz val="9"/>
        <color rgb="FF000000"/>
        <rFont val="Arial"/>
      </rPr>
      <t xml:space="preserve">El orador comunica a la  audiencia la estructura de  la presentación. La  estructura sigue una  secuencia lógica  (introducción, contenido,  conclusión). Sin embargo,  durante  la presentación,  el orador se aparta de  la </t>
    </r>
  </si>
  <si>
    <r>
      <rPr>
        <sz val="9"/>
        <color rgb="FF000000"/>
        <rFont val="Arial"/>
      </rPr>
      <t xml:space="preserve">El orador comunica a la audiencia  la estructura de la presentación, la  sigue durante la presentación, pero  no resulta apreciable una  secuencia lógica. </t>
    </r>
  </si>
  <si>
    <r>
      <rPr>
        <sz val="9"/>
        <color rgb="FF000000"/>
        <rFont val="Arial"/>
      </rPr>
      <t xml:space="preserve">El orador presenta la  estructura de la presentación  a la audiencia, pero no la  sigue, ni establece una  secuencia lógica para ser  presentada a la audiencia </t>
    </r>
  </si>
  <si>
    <t>Dominio del Contenido y defensa de argumentos.</t>
  </si>
  <si>
    <t xml:space="preserve">Expresa las ideas con  claridad y fluidez  identificando los aspectos  centrales y secundarios del  tema </t>
  </si>
  <si>
    <t xml:space="preserve">Expresa las ideas con  claridad, identificando los  aspectos centrales y  secundarios del tema. Sin  embargo, la fluidez de la  presentación ofrece  oportunidades de </t>
  </si>
  <si>
    <t xml:space="preserve">Expresa las ideas identificando los  aspectos centrales y secundarios  del tema. Sin embargo, la claridad  y la fluidez de la presentación  ofrecen oportunidades de  mejora </t>
  </si>
  <si>
    <t xml:space="preserve">Expresa las ideas sin  identificar los aspectos  centrales y secundarios del  tema. Sin  claridad y fluidez  en la presentación. </t>
  </si>
  <si>
    <r>
      <rPr>
        <b/>
        <sz val="18"/>
        <color theme="1"/>
        <rFont val="Arial"/>
      </rPr>
      <t xml:space="preserve">Conclusiones y cierre de la  presentación </t>
    </r>
  </si>
  <si>
    <r>
      <rPr>
        <sz val="9"/>
        <color rgb="FF000000"/>
        <rFont val="Arial"/>
      </rPr>
      <t xml:space="preserve">Presenta conclusiones  significativas de la  presentación, responde  las  preguntas del auditorio de  forma clara y precisa </t>
    </r>
  </si>
  <si>
    <r>
      <rPr>
        <sz val="9"/>
        <color rgb="FF000000"/>
        <rFont val="Arial"/>
      </rPr>
      <t xml:space="preserve">Presenta conclusiones  de  la presentación,  responde las preguntas  del auditorio con  algunas ambiguedades  o imprecisiones </t>
    </r>
  </si>
  <si>
    <r>
      <rPr>
        <sz val="9"/>
        <color rgb="FF000000"/>
        <rFont val="Arial"/>
      </rPr>
      <t xml:space="preserve">Presenta conclusiones  de la  presentación, responde las  preguntas del auditorio de forma  imprecisa o errónea. </t>
    </r>
  </si>
  <si>
    <r>
      <rPr>
        <sz val="9"/>
        <color rgb="FF000000"/>
        <rFont val="Arial"/>
      </rPr>
      <t xml:space="preserve">Presenta parcialmente las  conclusiones de la  presentación, no responde  adecuadamente a las  preguntas del auditorio. </t>
    </r>
  </si>
  <si>
    <t>Criterio</t>
  </si>
  <si>
    <t>Competencia/Resultado Aprendizaje</t>
  </si>
  <si>
    <t>C1,RA1</t>
  </si>
  <si>
    <t>C3,RA1</t>
  </si>
  <si>
    <t>C4,RA1</t>
  </si>
  <si>
    <t>C1,RA2</t>
  </si>
  <si>
    <t>Assessment</t>
  </si>
  <si>
    <t>Mapeo Competencias, Resultados de Aprendizaje e Indicadores de Desempeño</t>
  </si>
  <si>
    <t>Competencia</t>
  </si>
  <si>
    <t>Resultado de Aprendizaje</t>
  </si>
  <si>
    <t>Indicador de Desempeño</t>
  </si>
  <si>
    <r>
      <rPr>
        <b/>
        <u/>
        <sz val="11"/>
        <color theme="1"/>
        <rFont val="Arial"/>
      </rPr>
      <t>Competencia 1</t>
    </r>
    <r>
      <rPr>
        <sz val="11"/>
        <color theme="1"/>
        <rFont val="Arial"/>
      </rPr>
      <t>:</t>
    </r>
    <r>
      <rPr>
        <b/>
        <sz val="11"/>
        <color theme="1"/>
        <rFont val="Arial"/>
      </rPr>
      <t xml:space="preserve"> Comunicación Efectiva</t>
    </r>
    <r>
      <rPr>
        <sz val="11"/>
        <color theme="1"/>
        <rFont val="Arial"/>
      </rPr>
      <t xml:space="preserve">
Comunicarse adecuadamente usando canales y medios ajustados al mensaje y a la audiencia, y facilitando el intercambio de información.</t>
    </r>
  </si>
  <si>
    <r>
      <rPr>
        <b/>
        <sz val="11"/>
        <color theme="1"/>
        <rFont val="Arial"/>
      </rPr>
      <t>RA1.</t>
    </r>
    <r>
      <rPr>
        <sz val="11"/>
        <color theme="1"/>
        <rFont val="Arial"/>
      </rPr>
      <t xml:space="preserve"> Seleccionar el canal de comunicación apropiado dependiendo de la audiencia.</t>
    </r>
  </si>
  <si>
    <r>
      <rPr>
        <b/>
        <sz val="11"/>
        <color theme="1"/>
        <rFont val="Arial"/>
      </rPr>
      <t>RA2.</t>
    </r>
    <r>
      <rPr>
        <sz val="11"/>
        <color theme="1"/>
        <rFont val="Arial"/>
      </rPr>
      <t xml:space="preserve"> Facilitar el intercambio de información con otros profesionales y actores de la sociedad.</t>
    </r>
  </si>
  <si>
    <r>
      <rPr>
        <b/>
        <u/>
        <sz val="11"/>
        <color theme="1"/>
        <rFont val="Arial"/>
      </rPr>
      <t>Competencia 3</t>
    </r>
    <r>
      <rPr>
        <sz val="11"/>
        <color theme="1"/>
        <rFont val="Arial"/>
      </rPr>
      <t xml:space="preserve">: </t>
    </r>
    <r>
      <rPr>
        <b/>
        <sz val="11"/>
        <color theme="1"/>
        <rFont val="Arial"/>
      </rPr>
      <t>Solución de Problemas</t>
    </r>
    <r>
      <rPr>
        <sz val="11"/>
        <color theme="1"/>
        <rFont val="Arial"/>
      </rPr>
      <t>:
Solucionar problemas complejos usando pensamiento sistémico e información relevante.</t>
    </r>
  </si>
  <si>
    <r>
      <rPr>
        <b/>
        <sz val="11"/>
        <color rgb="FF000000"/>
        <rFont val="Arial"/>
      </rPr>
      <t>RA1</t>
    </r>
    <r>
      <rPr>
        <sz val="11"/>
        <color rgb="FF000000"/>
        <rFont val="Arial"/>
      </rPr>
      <t>. Examinar problemas complejos aplicando el pensamiento sistémico y plantear soluciones basadas en conocimiento e información relevante.</t>
    </r>
  </si>
  <si>
    <r>
      <rPr>
        <b/>
        <u/>
        <sz val="11"/>
        <color theme="1"/>
        <rFont val="Arial"/>
      </rPr>
      <t>Competencia 4</t>
    </r>
    <r>
      <rPr>
        <sz val="11"/>
        <color theme="1"/>
        <rFont val="Arial"/>
      </rPr>
      <t xml:space="preserve">: </t>
    </r>
    <r>
      <rPr>
        <b/>
        <sz val="11"/>
        <color theme="1"/>
        <rFont val="Arial"/>
      </rPr>
      <t>Análisis de informació</t>
    </r>
    <r>
      <rPr>
        <sz val="11"/>
        <color theme="1"/>
        <rFont val="Arial"/>
      </rPr>
      <t>n:
Utilizar análisis de datos, técnicas estadísticas y aprendizaje automático sobre datos e información disponible para descubrir relaciones y obtener un mejor entendimiento de los problemas y los procesos organizacionales, con el fin de respaldar la toma de decisiones.</t>
    </r>
  </si>
  <si>
    <r>
      <rPr>
        <b/>
        <sz val="11"/>
        <color theme="1"/>
        <rFont val="Arial"/>
      </rPr>
      <t xml:space="preserve">RA1. </t>
    </r>
    <r>
      <rPr>
        <sz val="11"/>
        <color theme="1"/>
        <rFont val="Arial"/>
      </rPr>
      <t xml:space="preserve">Examinar conjuntos de datos aplicando técnicas estadísticas y aprendizaje automático con el fin de tomar decisiones informadas soportadas en datos. </t>
    </r>
  </si>
  <si>
    <t>Valoración</t>
  </si>
  <si>
    <t>Nivel</t>
  </si>
  <si>
    <t>Interpretación</t>
  </si>
  <si>
    <r>
      <rPr>
        <b/>
        <u/>
        <sz val="11"/>
        <color theme="1"/>
        <rFont val="Arial"/>
      </rPr>
      <t>Competencia 1</t>
    </r>
    <r>
      <rPr>
        <sz val="11"/>
        <color theme="1"/>
        <rFont val="Arial"/>
      </rPr>
      <t>:</t>
    </r>
    <r>
      <rPr>
        <b/>
        <sz val="11"/>
        <color theme="1"/>
        <rFont val="Arial"/>
      </rPr>
      <t xml:space="preserve"> Comunicación Efectiva</t>
    </r>
    <r>
      <rPr>
        <sz val="11"/>
        <color theme="1"/>
        <rFont val="Arial"/>
      </rPr>
      <t xml:space="preserve">
Comunicarse adecuadamente usando canales y medios ajustados al mensaje y a la audiencia, y facilitando el intercambio de información.</t>
    </r>
  </si>
  <si>
    <r>
      <rPr>
        <b/>
        <sz val="11"/>
        <color theme="1"/>
        <rFont val="Arial"/>
      </rPr>
      <t>RA1.</t>
    </r>
    <r>
      <rPr>
        <sz val="11"/>
        <color theme="1"/>
        <rFont val="Arial"/>
      </rPr>
      <t xml:space="preserve"> Seleccionar el canal de comunicación apropiado dependiendo de la audiencia.</t>
    </r>
  </si>
  <si>
    <r>
      <rPr>
        <b/>
        <sz val="11"/>
        <color theme="1"/>
        <rFont val="Arial"/>
      </rPr>
      <t>RA2.</t>
    </r>
    <r>
      <rPr>
        <sz val="11"/>
        <color theme="1"/>
        <rFont val="Arial"/>
      </rPr>
      <t xml:space="preserve"> Facilitar el intercambio de información con otros profesionales y actores de la sociedad.</t>
    </r>
  </si>
  <si>
    <r>
      <rPr>
        <b/>
        <u/>
        <sz val="11"/>
        <color theme="1"/>
        <rFont val="Arial"/>
      </rPr>
      <t>Competencia 3</t>
    </r>
    <r>
      <rPr>
        <sz val="11"/>
        <color theme="1"/>
        <rFont val="Arial"/>
      </rPr>
      <t xml:space="preserve">: </t>
    </r>
    <r>
      <rPr>
        <b/>
        <sz val="11"/>
        <color theme="1"/>
        <rFont val="Arial"/>
      </rPr>
      <t>Solución de Problemas</t>
    </r>
    <r>
      <rPr>
        <sz val="11"/>
        <color theme="1"/>
        <rFont val="Arial"/>
      </rPr>
      <t>:
Solucionar problemas complejos usando pensamiento sistémico e información relevante.</t>
    </r>
  </si>
  <si>
    <r>
      <rPr>
        <b/>
        <sz val="11"/>
        <color rgb="FF000000"/>
        <rFont val="Arial"/>
      </rPr>
      <t>RA1</t>
    </r>
    <r>
      <rPr>
        <sz val="11"/>
        <color rgb="FF000000"/>
        <rFont val="Arial"/>
      </rPr>
      <t>. Examinar problemas complejos aplicando el pensamiento sistémico y plantear soluciones basadas en conocimiento e información relevante.</t>
    </r>
  </si>
  <si>
    <r>
      <rPr>
        <b/>
        <u/>
        <sz val="11"/>
        <color theme="1"/>
        <rFont val="Arial"/>
      </rPr>
      <t>Competencia 4</t>
    </r>
    <r>
      <rPr>
        <sz val="11"/>
        <color theme="1"/>
        <rFont val="Arial"/>
      </rPr>
      <t xml:space="preserve">: </t>
    </r>
    <r>
      <rPr>
        <b/>
        <sz val="11"/>
        <color theme="1"/>
        <rFont val="Arial"/>
      </rPr>
      <t>Análisis de informació</t>
    </r>
    <r>
      <rPr>
        <sz val="11"/>
        <color theme="1"/>
        <rFont val="Arial"/>
      </rPr>
      <t>n:
Utilizar análisis de datos, técnicas estadísticas y aprendizaje automático sobre datos e información disponible para descubrir relaciones y obtener un mejor entendimiento de los problemas y los procesos organizacionales, con el fin de respaldar la toma de decisiones.</t>
    </r>
  </si>
  <si>
    <r>
      <rPr>
        <b/>
        <sz val="11"/>
        <color theme="1"/>
        <rFont val="Arial"/>
      </rPr>
      <t xml:space="preserve">RA1. </t>
    </r>
    <r>
      <rPr>
        <sz val="11"/>
        <color theme="1"/>
        <rFont val="Arial"/>
      </rPr>
      <t xml:space="preserve">Examinar conjuntos de datos aplicando técnicas estadísticas y aprendizaje automático con el fin de tomar decisiones informadas soportadas en datos. </t>
    </r>
  </si>
  <si>
    <t xml:space="preserve">           Facultad de Ingeniería- Departamento Tecnologías de Información y Comunicaciones  Evaluación del Trabajo de Grado</t>
  </si>
  <si>
    <t>Presentación Oral</t>
  </si>
  <si>
    <t>JURADO</t>
  </si>
  <si>
    <t>Nivel 4: Accomplished</t>
  </si>
  <si>
    <t>Nivel 3: Proficient</t>
  </si>
  <si>
    <t>Nivel 2: Developing</t>
  </si>
  <si>
    <t>Nivel 1: Beginning</t>
  </si>
  <si>
    <t xml:space="preserve"> </t>
  </si>
  <si>
    <t>Presentación e Introducción</t>
  </si>
  <si>
    <r>
      <rPr>
        <sz val="12"/>
        <color theme="1"/>
        <rFont val="Arial"/>
      </rPr>
      <t xml:space="preserve">El orador se presenta a la audiencia, identifica el tema y </t>
    </r>
    <r>
      <rPr>
        <b/>
        <u/>
        <sz val="12"/>
        <color theme="1"/>
        <rFont val="Arial"/>
      </rPr>
      <t>establece claramente el objetivo de la presentación</t>
    </r>
  </si>
  <si>
    <r>
      <rPr>
        <sz val="12"/>
        <color theme="1"/>
        <rFont val="Arial"/>
      </rPr>
      <t>El orador se presenta a la audiencia, identifica el  tema y</t>
    </r>
    <r>
      <rPr>
        <b/>
        <u/>
        <sz val="12"/>
        <color theme="1"/>
        <rFont val="Arial"/>
      </rPr>
      <t xml:space="preserve">  establece  parcialmente el objetivo de la presentación</t>
    </r>
  </si>
  <si>
    <r>
      <rPr>
        <sz val="12"/>
        <color theme="1"/>
        <rFont val="Arial"/>
      </rPr>
      <t xml:space="preserve">El orador se presenta a la audiencia, </t>
    </r>
    <r>
      <rPr>
        <b/>
        <u/>
        <sz val="12"/>
        <color theme="1"/>
        <rFont val="Arial"/>
      </rPr>
      <t>identifica parcialmente el  tema y  el objetivo de la presentación</t>
    </r>
  </si>
  <si>
    <r>
      <rPr>
        <sz val="12"/>
        <color theme="1"/>
        <rFont val="Arial"/>
      </rPr>
      <t xml:space="preserve">El orador se presenta a la audiencia, identifica el tema , pero </t>
    </r>
    <r>
      <rPr>
        <b/>
        <u/>
        <sz val="12"/>
        <color theme="1"/>
        <rFont val="Arial"/>
      </rPr>
      <t xml:space="preserve"> omite el objetivo de la presentación</t>
    </r>
  </si>
  <si>
    <t>Estructura de la presentación</t>
  </si>
  <si>
    <t>El orador comunica a la audiencia la estructura de la presentación. La estructura sigue una secuencia lógica (introducción, contenido, conclusión) y en ella,  el orador sigue la estructura propuesta</t>
  </si>
  <si>
    <r>
      <rPr>
        <sz val="12"/>
        <color theme="1"/>
        <rFont val="Arial"/>
      </rPr>
      <t xml:space="preserve">El orador comunica a la audiencia la estructura de la presentación. La estructura sigue una secuencia lógica (introducción, contenido, conclusión). Sin embargo, durante  la presentación,  </t>
    </r>
    <r>
      <rPr>
        <b/>
        <u/>
        <sz val="12"/>
        <color theme="1"/>
        <rFont val="Arial"/>
      </rPr>
      <t>el orador se aparta de  la estructura propuesta</t>
    </r>
  </si>
  <si>
    <r>
      <rPr>
        <sz val="12"/>
        <color theme="1"/>
        <rFont val="Arial"/>
      </rPr>
      <t xml:space="preserve">El orador comunica a la audiencia la estructura de la presentación, la sigue durante la presentación, pero </t>
    </r>
    <r>
      <rPr>
        <b/>
        <u/>
        <sz val="12"/>
        <color theme="1"/>
        <rFont val="Arial"/>
      </rPr>
      <t>no resulta apreciable una secuencia lógica</t>
    </r>
    <r>
      <rPr>
        <sz val="12"/>
        <color theme="1"/>
        <rFont val="Arial"/>
      </rPr>
      <t>.</t>
    </r>
  </si>
  <si>
    <r>
      <rPr>
        <sz val="12"/>
        <color theme="1"/>
        <rFont val="Arial"/>
      </rPr>
      <t xml:space="preserve">El orador presenta la estructura de la presentación a la audiencia, pero </t>
    </r>
    <r>
      <rPr>
        <b/>
        <u/>
        <sz val="12"/>
        <color theme="1"/>
        <rFont val="Arial"/>
      </rPr>
      <t>no la sigue, ni establece una secuencia lógica para ser presentada a la audiencia</t>
    </r>
  </si>
  <si>
    <t xml:space="preserve">Dominio del contenido de la presentación </t>
  </si>
  <si>
    <t>Expresa las ideas con claridad y fluidez identificando los aspectos centrales y secundarios del tema</t>
  </si>
  <si>
    <r>
      <rPr>
        <sz val="12"/>
        <color theme="1"/>
        <rFont val="Arial"/>
      </rPr>
      <t>Expresa las ideas  con claridad, identificando los aspectos centrales y secundarios del tema. Sin embargo,</t>
    </r>
    <r>
      <rPr>
        <b/>
        <u/>
        <sz val="12"/>
        <color theme="1"/>
        <rFont val="Arial"/>
      </rPr>
      <t xml:space="preserve"> la fluidez de la presentación ofrece oportunidades de mejora</t>
    </r>
  </si>
  <si>
    <r>
      <rPr>
        <sz val="12"/>
        <color theme="1"/>
        <rFont val="Arial"/>
      </rPr>
      <t xml:space="preserve">Expresa las ideas identificando los aspectos centrales y secundarios del tema. Sin embargo, </t>
    </r>
    <r>
      <rPr>
        <b/>
        <u/>
        <sz val="12"/>
        <color theme="1"/>
        <rFont val="Arial"/>
      </rPr>
      <t>la claridad y la fluidez de la presentación ofrecen oportunidades de mejora</t>
    </r>
  </si>
  <si>
    <r>
      <rPr>
        <b/>
        <u/>
        <sz val="12"/>
        <color theme="1"/>
        <rFont val="Arial"/>
      </rPr>
      <t>Expresa las ideas sin identificar los aspectos centrales y secundarios del tema</t>
    </r>
    <r>
      <rPr>
        <sz val="12"/>
        <color theme="1"/>
        <rFont val="Arial"/>
      </rPr>
      <t xml:space="preserve">. </t>
    </r>
    <r>
      <rPr>
        <b/>
        <u/>
        <sz val="12"/>
        <color theme="1"/>
        <rFont val="Arial"/>
      </rPr>
      <t>Sin  claridad y fluidez en la presentación.</t>
    </r>
  </si>
  <si>
    <t>Vocabulario</t>
  </si>
  <si>
    <t>Utiliza un lenguaje claro y preciso que favorece la efectividad de la presentación. El lenguaje resulta apropiado a la audiencia objetivo de la presentación</t>
  </si>
  <si>
    <r>
      <rPr>
        <sz val="12"/>
        <color theme="1"/>
        <rFont val="Arial"/>
      </rPr>
      <t xml:space="preserve">Utiliza un lenguaje claro que favorece la efectividad en la presentación de las ideas, </t>
    </r>
    <r>
      <rPr>
        <b/>
        <u/>
        <sz val="12"/>
        <color theme="1"/>
        <rFont val="Arial"/>
      </rPr>
      <t>evidencia algunas imprecisiones en la presentación de las ideas</t>
    </r>
    <r>
      <rPr>
        <sz val="12"/>
        <color theme="1"/>
        <rFont val="Arial"/>
      </rPr>
      <t>, pero resulta apropiado para la audiencia objetivo de la presentación</t>
    </r>
  </si>
  <si>
    <r>
      <rPr>
        <sz val="12"/>
        <color theme="1"/>
        <rFont val="Arial"/>
      </rPr>
      <t>Utiliza un lenguaje claro que favorece la efectividad en la presentación de las ideas,</t>
    </r>
    <r>
      <rPr>
        <b/>
        <u/>
        <sz val="12"/>
        <color theme="1"/>
        <rFont val="Arial"/>
      </rPr>
      <t xml:space="preserve"> evidencia muchas imprecisiones en la presentación de las ideas</t>
    </r>
    <r>
      <rPr>
        <sz val="12"/>
        <color theme="1"/>
        <rFont val="Arial"/>
      </rPr>
      <t>, pero resulta apropiado para la audiencia objetivo de la presentación</t>
    </r>
  </si>
  <si>
    <r>
      <rPr>
        <sz val="12"/>
        <color theme="1"/>
        <rFont val="Arial"/>
      </rPr>
      <t xml:space="preserve">Utiliza un </t>
    </r>
    <r>
      <rPr>
        <b/>
        <u/>
        <sz val="12"/>
        <color theme="1"/>
        <rFont val="Arial"/>
      </rPr>
      <t>lenguaje confuso, que soporta en forma mínima la efectividad de la presentación</t>
    </r>
    <r>
      <rPr>
        <sz val="12"/>
        <color theme="1"/>
        <rFont val="Arial"/>
      </rPr>
      <t xml:space="preserve">.                                                              El lenguaje de la presentación </t>
    </r>
    <r>
      <rPr>
        <b/>
        <u/>
        <sz val="12"/>
        <color theme="1"/>
        <rFont val="Arial"/>
      </rPr>
      <t>no resulta apropiado a la audiencia.</t>
    </r>
  </si>
  <si>
    <t>Empleo de material de apoyo</t>
  </si>
  <si>
    <r>
      <rPr>
        <sz val="12"/>
        <color theme="1"/>
        <rFont val="Arial"/>
      </rPr>
      <t xml:space="preserve">Utiliza materiales de apoyo (explicaciones, ejemplos ilustraciones, estadísticas, analogías, citas de fuentes relevantes) que </t>
    </r>
    <r>
      <rPr>
        <b/>
        <u/>
        <sz val="12"/>
        <color theme="1"/>
        <rFont val="Arial"/>
      </rPr>
      <t>favorecen  y refuerzan la efectividad de la presentación</t>
    </r>
  </si>
  <si>
    <t>Utiliza  materiales de apoyo (explicaciones, ejemplos ilustraciones, estadísticas, analogías, citas de fuentes relevantes) que soportan la presentación</t>
  </si>
  <si>
    <r>
      <rPr>
        <sz val="12"/>
        <color theme="1"/>
        <rFont val="Arial"/>
      </rPr>
      <t xml:space="preserve">Utiliza  materiales de apoyo (explicaciones, ejemplos ilustraciones, estadísticas, analogías, citas de fuentes relevantes) con la intención de soportar la presentación. Sin embargo, </t>
    </r>
    <r>
      <rPr>
        <b/>
        <u/>
        <sz val="12"/>
        <color theme="1"/>
        <rFont val="Arial"/>
      </rPr>
      <t>la presencia de algunos de ellos, entorpece/oscurece la presentación</t>
    </r>
  </si>
  <si>
    <r>
      <rPr>
        <b/>
        <u/>
        <sz val="12"/>
        <color theme="1"/>
        <rFont val="Arial"/>
      </rPr>
      <t xml:space="preserve">Ausencia de  materiales de apoyo </t>
    </r>
    <r>
      <rPr>
        <sz val="12"/>
        <color theme="1"/>
        <rFont val="Arial"/>
      </rPr>
      <t>(explicaciones, ejemplos ilustraciones, estadísticas, analogías, citas de fuentes relevantes) que favorezcan de algún modo la presentación</t>
    </r>
  </si>
  <si>
    <t xml:space="preserve">Uso de Herramientas Electrónicas para la presentación </t>
  </si>
  <si>
    <r>
      <rPr>
        <sz val="12"/>
        <color theme="1"/>
        <rFont val="Arial"/>
      </rPr>
      <t>La</t>
    </r>
    <r>
      <rPr>
        <i/>
        <sz val="12"/>
        <color theme="1"/>
        <rFont val="Arial"/>
      </rPr>
      <t xml:space="preserve"> </t>
    </r>
    <r>
      <rPr>
        <b/>
        <i/>
        <u/>
        <sz val="12"/>
        <color theme="1"/>
        <rFont val="Arial"/>
      </rPr>
      <t>presentación utiliza herramientas electrónicas.</t>
    </r>
    <r>
      <rPr>
        <sz val="12"/>
        <color theme="1"/>
        <rFont val="Arial"/>
      </rPr>
      <t xml:space="preserve"> Los</t>
    </r>
    <r>
      <rPr>
        <b/>
        <u/>
        <sz val="12"/>
        <color theme="1"/>
        <rFont val="Arial"/>
      </rPr>
      <t xml:space="preserve"> recursos utilizados  favorecen/refuerzan su contenido</t>
    </r>
    <r>
      <rPr>
        <sz val="12"/>
        <color theme="1"/>
        <rFont val="Arial"/>
      </rPr>
      <t xml:space="preserve">; </t>
    </r>
    <r>
      <rPr>
        <b/>
        <u/>
        <sz val="12"/>
        <color theme="1"/>
        <rFont val="Arial"/>
      </rPr>
      <t>el tipo de letra y las imágenes apoyan la presentación</t>
    </r>
    <r>
      <rPr>
        <sz val="12"/>
        <color theme="1"/>
        <rFont val="Arial"/>
      </rPr>
      <t xml:space="preserve">; en las diapositivas el </t>
    </r>
    <r>
      <rPr>
        <b/>
        <u/>
        <sz val="12"/>
        <color theme="1"/>
        <rFont val="Arial"/>
      </rPr>
      <t>texto identifica las ideas principales y no está sobrecargado</t>
    </r>
    <r>
      <rPr>
        <sz val="12"/>
        <color theme="1"/>
        <rFont val="Arial"/>
      </rPr>
      <t xml:space="preserve">. </t>
    </r>
  </si>
  <si>
    <r>
      <rPr>
        <sz val="12"/>
        <color theme="1"/>
        <rFont val="Arial"/>
      </rPr>
      <t xml:space="preserve">La </t>
    </r>
    <r>
      <rPr>
        <b/>
        <u/>
        <sz val="12"/>
        <color theme="1"/>
        <rFont val="Arial"/>
      </rPr>
      <t>presentación utiliza herramientas electrónicas.</t>
    </r>
    <r>
      <rPr>
        <sz val="12"/>
        <color theme="1"/>
        <rFont val="Arial"/>
      </rPr>
      <t xml:space="preserve"> Los </t>
    </r>
    <r>
      <rPr>
        <b/>
        <u/>
        <sz val="12"/>
        <color theme="1"/>
        <rFont val="Arial"/>
      </rPr>
      <t>recursos utilizados  favorecen/refuerzan su contenido</t>
    </r>
    <r>
      <rPr>
        <sz val="12"/>
        <color theme="1"/>
        <rFont val="Arial"/>
      </rPr>
      <t xml:space="preserve">; </t>
    </r>
    <r>
      <rPr>
        <b/>
        <u/>
        <sz val="12"/>
        <color theme="1"/>
        <rFont val="Arial"/>
      </rPr>
      <t>el tipo de letra y las imágenes NO apoyan la presentación</t>
    </r>
    <r>
      <rPr>
        <sz val="12"/>
        <color theme="1"/>
        <rFont val="Arial"/>
      </rPr>
      <t xml:space="preserve">; en las diapositivas </t>
    </r>
    <r>
      <rPr>
        <b/>
        <u/>
        <sz val="12"/>
        <color theme="1"/>
        <rFont val="Arial"/>
      </rPr>
      <t>el texto identifica las ideas principales y no está sobrecargado.</t>
    </r>
    <r>
      <rPr>
        <sz val="12"/>
        <color theme="1"/>
        <rFont val="Arial"/>
      </rPr>
      <t xml:space="preserve"> </t>
    </r>
  </si>
  <si>
    <r>
      <rPr>
        <sz val="12"/>
        <color theme="1"/>
        <rFont val="Arial"/>
      </rPr>
      <t xml:space="preserve">La </t>
    </r>
    <r>
      <rPr>
        <b/>
        <u/>
        <sz val="12"/>
        <color theme="1"/>
        <rFont val="Arial"/>
      </rPr>
      <t>presentación utiliza herramientas electrónicas</t>
    </r>
    <r>
      <rPr>
        <sz val="12"/>
        <color theme="1"/>
        <rFont val="Arial"/>
      </rPr>
      <t xml:space="preserve">. Los </t>
    </r>
    <r>
      <rPr>
        <b/>
        <u/>
        <sz val="12"/>
        <color theme="1"/>
        <rFont val="Arial"/>
      </rPr>
      <t>recursos utilizados  favorecen/refuerzan su contenido</t>
    </r>
    <r>
      <rPr>
        <sz val="12"/>
        <color theme="1"/>
        <rFont val="Arial"/>
      </rPr>
      <t>; el t</t>
    </r>
    <r>
      <rPr>
        <b/>
        <u/>
        <sz val="12"/>
        <color theme="1"/>
        <rFont val="Arial"/>
      </rPr>
      <t>ipo de letra y las imágenes NO apoyan la presentación</t>
    </r>
    <r>
      <rPr>
        <sz val="12"/>
        <color theme="1"/>
        <rFont val="Arial"/>
      </rPr>
      <t xml:space="preserve">; en las diapositivas </t>
    </r>
    <r>
      <rPr>
        <b/>
        <u/>
        <sz val="12"/>
        <color theme="1"/>
        <rFont val="Arial"/>
      </rPr>
      <t>el texto identifica las ideas principales y está sobrecargado</t>
    </r>
    <r>
      <rPr>
        <sz val="12"/>
        <color theme="1"/>
        <rFont val="Arial"/>
      </rPr>
      <t xml:space="preserve">. </t>
    </r>
  </si>
  <si>
    <r>
      <rPr>
        <sz val="12"/>
        <color theme="1"/>
        <rFont val="Arial"/>
      </rPr>
      <t xml:space="preserve">La </t>
    </r>
    <r>
      <rPr>
        <b/>
        <u/>
        <sz val="12"/>
        <color theme="1"/>
        <rFont val="Arial"/>
      </rPr>
      <t>presentación utiliza herramientas electrónicas</t>
    </r>
    <r>
      <rPr>
        <sz val="12"/>
        <color theme="1"/>
        <rFont val="Arial"/>
      </rPr>
      <t xml:space="preserve">, pero los </t>
    </r>
    <r>
      <rPr>
        <b/>
        <u/>
        <sz val="12"/>
        <color theme="1"/>
        <rFont val="Arial"/>
      </rPr>
      <t>recursos utilizados  favorecen/refuerzan DÉBILMENTE su contenido</t>
    </r>
    <r>
      <rPr>
        <sz val="12"/>
        <color theme="1"/>
        <rFont val="Arial"/>
      </rPr>
      <t xml:space="preserve">; el </t>
    </r>
    <r>
      <rPr>
        <b/>
        <sz val="12"/>
        <color theme="1"/>
        <rFont val="Arial"/>
      </rPr>
      <t>tipo de letra y las imágenes NO apoyan la presentació</t>
    </r>
    <r>
      <rPr>
        <sz val="12"/>
        <color theme="1"/>
        <rFont val="Arial"/>
      </rPr>
      <t xml:space="preserve">n; en las diapositivas </t>
    </r>
    <r>
      <rPr>
        <b/>
        <u/>
        <sz val="12"/>
        <color theme="1"/>
        <rFont val="Arial"/>
      </rPr>
      <t>el texto identifica las ideas principales y está sobrecargado</t>
    </r>
    <r>
      <rPr>
        <sz val="12"/>
        <color theme="1"/>
        <rFont val="Arial"/>
      </rPr>
      <t xml:space="preserve">. </t>
    </r>
  </si>
  <si>
    <t>Conclusiones y cierre de la presentación</t>
  </si>
  <si>
    <t>Presenta conclusiones significativas de la presentación, responde  las preguntas del auditorio de forma clara y precisa</t>
  </si>
  <si>
    <r>
      <rPr>
        <sz val="12"/>
        <color theme="1"/>
        <rFont val="Arial"/>
      </rPr>
      <t xml:space="preserve">Presenta conclusiones  de la presentación, </t>
    </r>
    <r>
      <rPr>
        <b/>
        <u/>
        <sz val="12"/>
        <color theme="1"/>
        <rFont val="Arial"/>
      </rPr>
      <t>responde las preguntas del auditorio con algunas ambiguedades o imprecisiones</t>
    </r>
  </si>
  <si>
    <r>
      <rPr>
        <sz val="12"/>
        <color theme="1"/>
        <rFont val="Arial"/>
      </rPr>
      <t xml:space="preserve">Presenta conclusiones  de la presentación, </t>
    </r>
    <r>
      <rPr>
        <b/>
        <u/>
        <sz val="12"/>
        <color theme="1"/>
        <rFont val="Arial"/>
      </rPr>
      <t>responde las preguntas del auditorio de forma imprecisa o errónea</t>
    </r>
    <r>
      <rPr>
        <sz val="12"/>
        <color theme="1"/>
        <rFont val="Arial"/>
      </rPr>
      <t>.</t>
    </r>
  </si>
  <si>
    <r>
      <rPr>
        <sz val="12"/>
        <color theme="1"/>
        <rFont val="Arial"/>
      </rPr>
      <t xml:space="preserve">Presenta </t>
    </r>
    <r>
      <rPr>
        <b/>
        <u/>
        <sz val="12"/>
        <color theme="1"/>
        <rFont val="Arial"/>
      </rPr>
      <t>parcialmente las conclusiones de la presentación, no responde adecuadamente a las preguntas del auditorio.</t>
    </r>
  </si>
  <si>
    <t>Defensa Argumentos</t>
  </si>
  <si>
    <t>Defensa de Argumentos</t>
  </si>
  <si>
    <t>Formula  las premisas de la argumentación y sus relaciones. Las premisas sustentan suficientemente la conclusión.</t>
  </si>
  <si>
    <t>Formula las premisas y las  relaciones entre ellas. Las premisas no sustentan suficientemente la conclusión.</t>
  </si>
  <si>
    <t>Formula  las premisas y la conclusión, pero no las relaciona adecuadamente.</t>
  </si>
  <si>
    <t>Formula las premisas, pero la conclusión está inadecuadamente establecida</t>
  </si>
  <si>
    <t>Seguimiento</t>
  </si>
  <si>
    <t>Profesor PDG</t>
  </si>
  <si>
    <t>Nivel 3:Proficient</t>
  </si>
  <si>
    <t>4,4-4,0</t>
  </si>
  <si>
    <t>3,9-3,0</t>
  </si>
  <si>
    <t>2,9-1,0</t>
  </si>
  <si>
    <t>Segunda - Agosto 6</t>
  </si>
  <si>
    <t>Tercera - Sept 17</t>
  </si>
  <si>
    <t>Cuarta - Oct 8</t>
  </si>
  <si>
    <t>Quinta - 19 de Nov</t>
  </si>
  <si>
    <t>(de 1 a 4)</t>
  </si>
  <si>
    <t>Presentación</t>
  </si>
  <si>
    <t>La presentación es organizada, las ideas son expresadas con claridad y fluidez identificando los aspectos centrales y secundarios del tema</t>
  </si>
  <si>
    <t>La presentación es organizada, hay vacíos en la organización e identificando los aspectos centrales y secundarios del tema</t>
  </si>
  <si>
    <t>La presentación tiene algún grado de organización, hay vacíos en la organización y en la identificación y presentaciín de los aspectos centrales y secundarios del tema</t>
  </si>
  <si>
    <t>La presentación tiene poca organización, hay muchos vacíos en la organización y en la identificación y presentaciín de los aspectos centrales y secundarios del tema</t>
  </si>
  <si>
    <t>Cumplimiento de cronograma</t>
  </si>
  <si>
    <t>El gronograma se esta cumpliento según lo pleneado. No hay retrasos ni tareas pendientes sin justificación</t>
  </si>
  <si>
    <t>El gronograma se esta cumpliento en su mayor parte según lo planeado. Hay algunos retrasos o tareas pendientes.</t>
  </si>
  <si>
    <t>El gronograma se esta cumpliento con parte de lo planeado. Hay retrasos o tareas pendientes.</t>
  </si>
  <si>
    <t>El gronograma no se esta cumpliento según lo pleneado. Hay pocos avances.</t>
  </si>
  <si>
    <t>Cumplimiento de requisitos</t>
  </si>
  <si>
    <t>PDG</t>
  </si>
  <si>
    <t>Aspecto</t>
  </si>
  <si>
    <t>Si/No</t>
  </si>
  <si>
    <t>El trabajo cumple con todos los requisitos Eticos y Legales. En caso necesitar revisión por el comité ético se deberá someter al disctamen de este.</t>
  </si>
  <si>
    <t>Aspectos a evaluar / Evaluador</t>
  </si>
  <si>
    <t>Tutor</t>
  </si>
  <si>
    <t>Lector</t>
  </si>
  <si>
    <t>Comité</t>
  </si>
  <si>
    <t>Comentario</t>
  </si>
  <si>
    <r>
      <rPr>
        <sz val="10"/>
        <color rgb="FF000000"/>
        <rFont val="Arial"/>
      </rPr>
      <t>a)</t>
    </r>
    <r>
      <rPr>
        <sz val="7"/>
        <color rgb="FF000000"/>
        <rFont val="Times New Roman"/>
      </rPr>
      <t xml:space="preserve">     </t>
    </r>
    <r>
      <rPr>
        <sz val="11"/>
        <color rgb="FF000000"/>
        <rFont val="Arial"/>
      </rPr>
      <t>Pertinencia y alcance del problema de investigación propuesto. Coherencia de las preguntas de investigación con el problema planteado.</t>
    </r>
  </si>
  <si>
    <t>Rubrica del Tutor: analisis de estado del arte, Marco teórico y antecedentes. Rubrica del Lector: Formulación del Problema.</t>
  </si>
  <si>
    <r>
      <rPr>
        <sz val="10"/>
        <color rgb="FF000000"/>
        <rFont val="Arial"/>
      </rPr>
      <t>b)</t>
    </r>
    <r>
      <rPr>
        <sz val="7"/>
        <color rgb="FF000000"/>
        <rFont val="Times New Roman"/>
      </rPr>
      <t xml:space="preserve">     </t>
    </r>
    <r>
      <rPr>
        <sz val="11"/>
        <color rgb="FF000000"/>
        <rFont val="Arial"/>
      </rPr>
      <t>Cumplimiento de los objetivos propuestos.</t>
    </r>
  </si>
  <si>
    <t>Rubrica del Lector: Objetivos
Metodología
Contribución del Proyecto
 Conclusiones y Resultados</t>
  </si>
  <si>
    <r>
      <rPr>
        <sz val="10"/>
        <color rgb="FF000000"/>
        <rFont val="Arial"/>
      </rPr>
      <t>c)</t>
    </r>
    <r>
      <rPr>
        <sz val="7"/>
        <color rgb="FF000000"/>
        <rFont val="Times New Roman"/>
      </rPr>
      <t xml:space="preserve">     </t>
    </r>
    <r>
      <rPr>
        <sz val="11"/>
        <color rgb="FF000000"/>
        <rFont val="Arial"/>
      </rPr>
      <t>Dominio del tema consignado en el marco teórico y calidad de la revisión bibliográfica incluida en el documento.</t>
    </r>
  </si>
  <si>
    <t>Rubrica del Tutor: analisis de estado del arte, Marco teórico y antecedentes. Rubrica del Lector: Formulación del Problema, Metodología</t>
  </si>
  <si>
    <r>
      <rPr>
        <sz val="10"/>
        <color rgb="FF000000"/>
        <rFont val="Arial"/>
      </rPr>
      <t>d)</t>
    </r>
    <r>
      <rPr>
        <sz val="7"/>
        <color rgb="FF000000"/>
        <rFont val="Times New Roman"/>
      </rPr>
      <t xml:space="preserve">     </t>
    </r>
    <r>
      <rPr>
        <sz val="11"/>
        <color rgb="FF000000"/>
        <rFont val="Arial"/>
      </rPr>
      <t>Pertinencia y validez del diseño metodológico empleado en la investigación.</t>
    </r>
  </si>
  <si>
    <t>Rubrica del Tutor y del Lector</t>
  </si>
  <si>
    <r>
      <rPr>
        <sz val="10"/>
        <color rgb="FF000000"/>
        <rFont val="Arial"/>
      </rPr>
      <t>e)</t>
    </r>
    <r>
      <rPr>
        <sz val="7"/>
        <color rgb="FF000000"/>
        <rFont val="Times New Roman"/>
      </rPr>
      <t xml:space="preserve">     </t>
    </r>
    <r>
      <rPr>
        <sz val="11"/>
        <color rgb="FF000000"/>
        <rFont val="Arial"/>
      </rPr>
      <t>Calidad de la recolección, interpretación y análisis de los datos.</t>
    </r>
  </si>
  <si>
    <r>
      <rPr>
        <sz val="10"/>
        <color rgb="FF000000"/>
        <rFont val="Arial"/>
      </rPr>
      <t>f)</t>
    </r>
    <r>
      <rPr>
        <sz val="7"/>
        <color rgb="FF000000"/>
        <rFont val="Times New Roman"/>
      </rPr>
      <t xml:space="preserve">      </t>
    </r>
    <r>
      <rPr>
        <sz val="11"/>
        <color rgb="FF000000"/>
        <rFont val="Arial"/>
      </rPr>
      <t>Validez, alcance e impacto de los resultados y conclusiones.</t>
    </r>
  </si>
  <si>
    <t>Rubrica del Tutor y Rubrica del Lector:Contribución del Proyecto
 Conclusiones y Resultados</t>
  </si>
  <si>
    <r>
      <rPr>
        <sz val="10"/>
        <color rgb="FF000000"/>
        <rFont val="Arial"/>
      </rPr>
      <t>g)</t>
    </r>
    <r>
      <rPr>
        <sz val="7"/>
        <color rgb="FF000000"/>
        <rFont val="Times New Roman"/>
      </rPr>
      <t xml:space="preserve">     </t>
    </r>
    <r>
      <rPr>
        <sz val="11"/>
        <color rgb="FF000000"/>
        <rFont val="Arial"/>
      </rPr>
      <t>Calidad y cumplimiento  de las normas vigentes para la presentación del informe escrito.</t>
    </r>
  </si>
  <si>
    <r>
      <rPr>
        <sz val="10"/>
        <color rgb="FF000000"/>
        <rFont val="Arial"/>
      </rPr>
      <t>h)</t>
    </r>
    <r>
      <rPr>
        <sz val="7"/>
        <color rgb="FF000000"/>
        <rFont val="Times New Roman"/>
      </rPr>
      <t xml:space="preserve">     </t>
    </r>
    <r>
      <rPr>
        <sz val="11"/>
        <color rgb="FF000000"/>
        <rFont val="Arial"/>
      </rPr>
      <t>Cumplimiento de los requisitos éticos y legales pertinentes al tipo de trabajo de grado.</t>
    </r>
  </si>
  <si>
    <t>Aspecto de cumpliemito en las tres rubricas</t>
  </si>
  <si>
    <r>
      <rPr>
        <sz val="10"/>
        <color rgb="FF000000"/>
        <rFont val="Arial"/>
      </rPr>
      <t>i)</t>
    </r>
    <r>
      <rPr>
        <sz val="7"/>
        <color rgb="FF000000"/>
        <rFont val="Times New Roman"/>
      </rPr>
      <t xml:space="preserve">      </t>
    </r>
    <r>
      <rPr>
        <sz val="11"/>
        <color rgb="FF000000"/>
        <rFont val="Arial"/>
      </rPr>
      <t>Calidad de la sustentación del trabajo.</t>
    </r>
  </si>
  <si>
    <t>Rubrica del Jurado: Presentación e Introducción
Estructura de la presentación
Dominio del contenido de la presentación 
Vocabulario
Empleo de material de apoyo
Uso de Herramientas Electrónicas para la presentación 
Conclusiones y cierre de la presentación</t>
  </si>
  <si>
    <t>Cumple de manera sobresaliente</t>
  </si>
  <si>
    <t>Cumple aceptablemente</t>
  </si>
  <si>
    <t>Cumple parcialmente</t>
  </si>
  <si>
    <t>No cumple</t>
  </si>
  <si>
    <t xml:space="preserve">Pertinencia y alcance del problema de investigación propuesto. </t>
  </si>
  <si>
    <t>El proyecto es pertinente y el problema de investigación propuesto se ha completado completamente, superando los objetivos esperados</t>
  </si>
  <si>
    <t xml:space="preserve">El proyecto es pertinente y el problema de investigación propuesto se ha completado en su mayoría. </t>
  </si>
  <si>
    <t xml:space="preserve">El proyecto es pertinente y el problema de investigación propuesto se ha completado aceptablemente. </t>
  </si>
  <si>
    <t xml:space="preserve">El proyecto es pertinente y el problema de investigación propuesto se ha completado parcialmente </t>
  </si>
  <si>
    <t>Coherencia de las preguntas de investigación con el problema planteado.</t>
  </si>
  <si>
    <t>Las preguntas de investigación planteadas son coherentes con el problema y contribuyeron plenamente al avance en su solución </t>
  </si>
  <si>
    <t>Las preguntas de investigación planteadas son coherentes en buena medida  con el problema y contribuyeron aceptablementa a su solución</t>
  </si>
  <si>
    <t>Las preguntas de investigación planteadas son parcialmente coherentes con el problema y contribuyeron medianamente  a su solución</t>
  </si>
  <si>
    <t>Las preguntas de investigación planteadas son parcialmente coherentes con el problema y contribuyeron  parcialmente a su solución</t>
  </si>
  <si>
    <t>Cumplimiento de los objetivos propuestos.</t>
  </si>
  <si>
    <t>Todos los objetivos propuestos se  cumplieron completamente y superaron los inicialmente planteados</t>
  </si>
  <si>
    <t>Los objetivos propuestos se  cumplieron en su mayor parte</t>
  </si>
  <si>
    <t>Los objetivos propuestos se  cumplieron parcialmente</t>
  </si>
  <si>
    <t>No se cumplieron completamente los objetivos propuestos</t>
  </si>
  <si>
    <t>Dominio del tema consignado en el marco teórico y calidad de la revisión bibliográfica incluida en el documento.</t>
  </si>
  <si>
    <t>Los estudiantes dominan el tema, han realizado una investigación exaustiva del tema propuesto y la bibliografía está completa y correctamente citada en el documento.</t>
  </si>
  <si>
    <t>Los estudiantes han alcanzado un buen dominio del tema. Ellos han realizado una investigación completa del tema propuesto y la bibliografía está  citada correctamente en el documento.</t>
  </si>
  <si>
    <t>Los estudiantes han alcanzado un aceptable dominio del tema. Ellos han realizado una investigación aceptable del tema propuesto y la mayoría de la bibliografía está  citada correctamente en el documento.</t>
  </si>
  <si>
    <t>Los estudiantes han no han alcanzado un aceptable dominio del tema. Ellos han realizado una investigación aceptable del tema propuesto y la una parte de la bibliografía está  citada correctamente en el documento.</t>
  </si>
  <si>
    <t>Pertinencia y validez del diseño metodológico empleado en la investigación.</t>
  </si>
  <si>
    <t>El diseño metodológico del proyecto está muy bien realizado para abordar el tema de investigación</t>
  </si>
  <si>
    <t>El diseño metodológico del proyecto está bien realizado para abordar el tema de investigación</t>
  </si>
  <si>
    <t>El diseño metodológico del proyecto está aceptablemente realizado para abordar el tema de investigación</t>
  </si>
  <si>
    <t>El diseño metodológico del proyecto está deficientemente realizado para abordar el tema de investigación</t>
  </si>
  <si>
    <t>Calidad de la recolección, interpretación y análisis de los datos.</t>
  </si>
  <si>
    <t>La información recolectada es completa y los datos son de muy buena calidad por la rigurosa metodología utilizada</t>
  </si>
  <si>
    <t>La información recolectada es completa y los datos son de  buena calidad.</t>
  </si>
  <si>
    <t>La información recolectada es aceptable y los datos recolectados son de  mediana calidad.</t>
  </si>
  <si>
    <t>La información recolectada es deficiente y los datos recolectados son de  baja calidad.</t>
  </si>
  <si>
    <t>Validez, alcance e impacto de los resultados y conclusiones.</t>
  </si>
  <si>
    <t>Los resultados del proyecto son válidos y las conclusiones del proyecto tienen alto impacto</t>
  </si>
  <si>
    <t>Los resultados del proyecto son de buena calidad y las conclusiones del proyecto son válidas y tienen buen impacto</t>
  </si>
  <si>
    <t>Los resultados del proyecto son aceptables y las conclusiones del proyecto son válidas y tienen mediano impacto</t>
  </si>
  <si>
    <t>Los resultados del proyecto son parcialmente válidos y las conclusiones del proyecto son válidas y tienen bajo impacto</t>
  </si>
  <si>
    <t>Calidad y cumplimiento  de las normas vigentes para la presentación del informe escrito.</t>
  </si>
  <si>
    <t>El proyecto cumple completamente con las normas vigentes para la presentación del informe escrito</t>
  </si>
  <si>
    <t>El proyecto cumple  con las normas vigentes para la presentación del informe escrito</t>
  </si>
  <si>
    <t>El proyecto cumple aceptablemente con las normas vigentes para la presentación del informe escrito</t>
  </si>
  <si>
    <t>El proyecto cumple parcialmente con las normas vigentes para la presentación del informe escrito</t>
  </si>
  <si>
    <t>Cumplimiento de los requisitos éticos y legales pertinentes al tipo de trabajo de grado.</t>
  </si>
  <si>
    <t xml:space="preserve">El proyecto cumple con todos los requisitos éticos y legales </t>
  </si>
  <si>
    <t>Calidad de la sustentación del trabajo.</t>
  </si>
  <si>
    <t>La sustentación del proyecto fue clara, las ideas se presentaron ordenadamente, se utilizó un buen material de apoyo. Se respondieron todas las preguntas ampliamentey con claridad.</t>
  </si>
  <si>
    <t>La sustentación del proyecto fue clara, las ideas se presentaron en su mayoría ordenadamente. Se respondieron la mayoría de las preguntas  Se utilizó un buen material de apoyo</t>
  </si>
  <si>
    <t>La sustentación del proyecto fue clara, las ideas se presentaron en forma ordenada en su mayoría. Se respondieron   las preguntas en forma aceptable. Se utilizó  algun material de apoyo</t>
  </si>
  <si>
    <t>La sustentación del proyecto fue confusa, algunas de las ideas se presentaron en forma ordenada. Se respondieron  las preguntas no en su totalidad. Se utilizó  algun material de apoyo</t>
  </si>
  <si>
    <t>Facultad de Ingeniería y Diseño - Maestría en Ciencia de Datos/Inteligencia Artificial Aplicada - Evaluación Proyecto II de innovación tecnológica en IA</t>
  </si>
  <si>
    <t>NA</t>
  </si>
  <si>
    <t>Jose Moncada</t>
  </si>
  <si>
    <t>Evaluación del proyecto</t>
  </si>
  <si>
    <t>Inserte el nombre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</si>
</sst>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 x14ac:knownFonts="1">
    <font>
      <sz val="10"/>
      <color rgb="FF000000"/>
      <name val="Calibri"/>
      <scheme val="minor"/>
    </font>
    <font>
      <b/>
      <sz val="18"/>
      <color theme="1"/>
      <name val="Arial"/>
    </font>
    <font>
      <sz val="10"/>
      <name val="Calibri"/>
    </font>
    <font>
      <sz val="10"/>
      <color rgb="FF000000"/>
      <name val="Arial"/>
    </font>
    <font>
      <b/>
      <sz val="14"/>
      <color theme="1"/>
      <name val="Arial"/>
    </font>
    <font>
      <sz val="10"/>
      <color theme="1"/>
      <name val="Arial"/>
    </font>
    <font>
      <b/>
      <sz val="16"/>
      <color theme="1"/>
      <name val="Arial"/>
    </font>
    <font>
      <b/>
      <sz val="14"/>
      <color theme="1"/>
      <name val="Calibri"/>
    </font>
    <font>
      <sz val="10"/>
      <color theme="1"/>
      <name val="Calibri"/>
    </font>
    <font>
      <sz val="18"/>
      <color theme="1"/>
      <name val="Calibri"/>
    </font>
    <font>
      <sz val="10"/>
      <color rgb="FF000000"/>
      <name val="Calibri"/>
    </font>
    <font>
      <b/>
      <sz val="22"/>
      <color theme="1"/>
      <name val="Arial"/>
    </font>
    <font>
      <b/>
      <sz val="36"/>
      <color theme="1"/>
      <name val="Arial"/>
    </font>
    <font>
      <sz val="16"/>
      <color theme="1"/>
      <name val="Arial"/>
    </font>
    <font>
      <b/>
      <sz val="36"/>
      <color theme="1"/>
      <name val="Calibri"/>
    </font>
    <font>
      <b/>
      <sz val="18"/>
      <color theme="1"/>
      <name val="Calibri"/>
    </font>
    <font>
      <b/>
      <sz val="48"/>
      <color theme="1"/>
      <name val="Arial"/>
    </font>
    <font>
      <b/>
      <sz val="20"/>
      <color theme="1"/>
      <name val="Arial"/>
    </font>
    <font>
      <b/>
      <sz val="12"/>
      <color theme="1"/>
      <name val="Arial"/>
    </font>
    <font>
      <b/>
      <sz val="20"/>
      <color rgb="FF000000"/>
      <name val="Calibri"/>
    </font>
    <font>
      <b/>
      <sz val="26"/>
      <color rgb="FF000000"/>
      <name val="Arial"/>
    </font>
    <font>
      <b/>
      <sz val="26"/>
      <color theme="1"/>
      <name val="Arial"/>
    </font>
    <font>
      <sz val="16"/>
      <color rgb="FF000000"/>
      <name val="Arial"/>
    </font>
    <font>
      <b/>
      <sz val="48"/>
      <color rgb="FF000000"/>
      <name val="Arial"/>
    </font>
    <font>
      <b/>
      <sz val="20"/>
      <color theme="0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rgb="FF000000"/>
      <name val="Arial"/>
    </font>
    <font>
      <sz val="11"/>
      <color rgb="FF000000"/>
      <name val="Arial"/>
    </font>
    <font>
      <sz val="14"/>
      <color theme="1"/>
      <name val="Arial"/>
    </font>
    <font>
      <sz val="12"/>
      <color theme="1"/>
      <name val="Arial"/>
    </font>
    <font>
      <b/>
      <sz val="22"/>
      <color rgb="FF000000"/>
      <name val="Arial"/>
    </font>
    <font>
      <b/>
      <sz val="12"/>
      <color rgb="FF000000"/>
      <name val="Arial"/>
    </font>
    <font>
      <b/>
      <sz val="10"/>
      <color theme="1"/>
      <name val="Arial"/>
    </font>
    <font>
      <b/>
      <sz val="14"/>
      <color rgb="FF000000"/>
      <name val="Arial"/>
    </font>
    <font>
      <b/>
      <u/>
      <sz val="10"/>
      <color theme="1"/>
      <name val="Arial"/>
    </font>
    <font>
      <sz val="11"/>
      <color rgb="FF000000"/>
      <name val="Calibri"/>
    </font>
    <font>
      <sz val="9"/>
      <color rgb="FF000000"/>
      <name val="Arial"/>
    </font>
    <font>
      <b/>
      <u/>
      <sz val="11"/>
      <color theme="1"/>
      <name val="Arial"/>
    </font>
    <font>
      <b/>
      <sz val="11"/>
      <color rgb="FF000000"/>
      <name val="Arial"/>
    </font>
    <font>
      <b/>
      <u/>
      <sz val="12"/>
      <color theme="1"/>
      <name val="Arial"/>
    </font>
    <font>
      <i/>
      <sz val="12"/>
      <color theme="1"/>
      <name val="Arial"/>
    </font>
    <font>
      <b/>
      <i/>
      <u/>
      <sz val="12"/>
      <color theme="1"/>
      <name val="Arial"/>
    </font>
    <font>
      <sz val="7"/>
      <color rgb="FF000000"/>
      <name val="Times New Roman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</fills>
  <borders count="6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0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0" borderId="0" xfId="0" applyFont="1"/>
    <xf numFmtId="0" fontId="4" fillId="0" borderId="1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8" fillId="0" borderId="0" xfId="0" applyFont="1"/>
    <xf numFmtId="0" fontId="1" fillId="0" borderId="15" xfId="0" applyFont="1" applyBorder="1" applyAlignment="1">
      <alignment horizontal="left" vertical="center" wrapText="1"/>
    </xf>
    <xf numFmtId="0" fontId="9" fillId="0" borderId="15" xfId="0" applyFont="1" applyBorder="1"/>
    <xf numFmtId="0" fontId="9" fillId="0" borderId="15" xfId="0" applyFont="1" applyBorder="1" applyAlignment="1">
      <alignment horizontal="center"/>
    </xf>
    <xf numFmtId="0" fontId="10" fillId="0" borderId="0" xfId="0" applyFont="1"/>
    <xf numFmtId="0" fontId="11" fillId="2" borderId="22" xfId="0" applyFont="1" applyFill="1" applyBorder="1" applyAlignment="1">
      <alignment horizontal="center" wrapText="1"/>
    </xf>
    <xf numFmtId="9" fontId="1" fillId="2" borderId="22" xfId="0" applyNumberFormat="1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left" vertical="center" wrapText="1"/>
    </xf>
    <xf numFmtId="9" fontId="13" fillId="2" borderId="26" xfId="0" applyNumberFormat="1" applyFont="1" applyFill="1" applyBorder="1" applyAlignment="1">
      <alignment horizontal="center" vertical="center" wrapText="1"/>
    </xf>
    <xf numFmtId="2" fontId="10" fillId="0" borderId="0" xfId="0" applyNumberFormat="1" applyFont="1"/>
    <xf numFmtId="9" fontId="10" fillId="0" borderId="0" xfId="0" applyNumberFormat="1" applyFont="1"/>
    <xf numFmtId="9" fontId="15" fillId="2" borderId="22" xfId="0" applyNumberFormat="1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9" fontId="13" fillId="2" borderId="30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3" fillId="2" borderId="3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2" fontId="13" fillId="2" borderId="31" xfId="0" applyNumberFormat="1" applyFont="1" applyFill="1" applyBorder="1" applyAlignment="1">
      <alignment horizontal="left" vertical="center" wrapText="1"/>
    </xf>
    <xf numFmtId="2" fontId="13" fillId="2" borderId="25" xfId="0" applyNumberFormat="1" applyFont="1" applyFill="1" applyBorder="1" applyAlignment="1">
      <alignment horizontal="left" vertical="center" wrapText="1"/>
    </xf>
    <xf numFmtId="0" fontId="1" fillId="3" borderId="33" xfId="0" applyFont="1" applyFill="1" applyBorder="1" applyAlignment="1">
      <alignment horizontal="center" vertical="center" wrapText="1"/>
    </xf>
    <xf numFmtId="164" fontId="16" fillId="3" borderId="22" xfId="0" applyNumberFormat="1" applyFont="1" applyFill="1" applyBorder="1" applyAlignment="1">
      <alignment horizontal="center" vertical="center" wrapText="1"/>
    </xf>
    <xf numFmtId="9" fontId="13" fillId="2" borderId="2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0" fillId="0" borderId="15" xfId="0" applyFont="1" applyBorder="1"/>
    <xf numFmtId="0" fontId="17" fillId="5" borderId="15" xfId="0" applyFont="1" applyFill="1" applyBorder="1" applyAlignment="1">
      <alignment horizontal="left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left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64" fontId="17" fillId="6" borderId="15" xfId="0" applyNumberFormat="1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left" vertical="center"/>
    </xf>
    <xf numFmtId="1" fontId="17" fillId="0" borderId="15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2" fontId="1" fillId="0" borderId="15" xfId="0" applyNumberFormat="1" applyFont="1" applyBorder="1" applyAlignment="1">
      <alignment horizontal="left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1" fontId="20" fillId="0" borderId="15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left" vertical="center" wrapText="1"/>
    </xf>
    <xf numFmtId="2" fontId="1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164" fontId="21" fillId="0" borderId="0" xfId="0" applyNumberFormat="1" applyFont="1" applyAlignment="1">
      <alignment horizontal="center" vertical="center" wrapText="1"/>
    </xf>
    <xf numFmtId="0" fontId="6" fillId="2" borderId="15" xfId="0" applyFont="1" applyFill="1" applyBorder="1" applyAlignment="1">
      <alignment horizontal="center" wrapText="1"/>
    </xf>
    <xf numFmtId="0" fontId="13" fillId="2" borderId="15" xfId="0" applyFont="1" applyFill="1" applyBorder="1" applyAlignment="1">
      <alignment horizontal="center" vertical="center" wrapText="1"/>
    </xf>
    <xf numFmtId="9" fontId="13" fillId="2" borderId="15" xfId="0" applyNumberFormat="1" applyFont="1" applyFill="1" applyBorder="1" applyAlignment="1">
      <alignment horizontal="center" vertical="center" wrapText="1"/>
    </xf>
    <xf numFmtId="9" fontId="22" fillId="2" borderId="15" xfId="0" applyNumberFormat="1" applyFont="1" applyFill="1" applyBorder="1" applyAlignment="1">
      <alignment horizontal="center" vertical="center" wrapText="1"/>
    </xf>
    <xf numFmtId="2" fontId="13" fillId="2" borderId="15" xfId="0" applyNumberFormat="1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/>
    </xf>
    <xf numFmtId="2" fontId="27" fillId="0" borderId="12" xfId="0" applyNumberFormat="1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9" fontId="27" fillId="0" borderId="12" xfId="0" applyNumberFormat="1" applyFont="1" applyBorder="1" applyAlignment="1">
      <alignment horizontal="center" vertical="center"/>
    </xf>
    <xf numFmtId="9" fontId="27" fillId="0" borderId="13" xfId="0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2" fillId="8" borderId="30" xfId="0" applyFont="1" applyFill="1" applyBorder="1" applyAlignment="1">
      <alignment horizontal="center"/>
    </xf>
    <xf numFmtId="0" fontId="22" fillId="8" borderId="43" xfId="0" applyFont="1" applyFill="1" applyBorder="1" applyAlignment="1">
      <alignment horizontal="center"/>
    </xf>
    <xf numFmtId="0" fontId="22" fillId="8" borderId="31" xfId="0" applyFont="1" applyFill="1" applyBorder="1" applyAlignment="1">
      <alignment horizontal="center"/>
    </xf>
    <xf numFmtId="0" fontId="22" fillId="8" borderId="31" xfId="0" applyFont="1" applyFill="1" applyBorder="1" applyAlignment="1">
      <alignment horizontal="center" vertical="center"/>
    </xf>
    <xf numFmtId="164" fontId="27" fillId="0" borderId="12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64" fontId="27" fillId="0" borderId="13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 wrapText="1"/>
    </xf>
    <xf numFmtId="164" fontId="27" fillId="0" borderId="41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64" fontId="27" fillId="0" borderId="2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27" fillId="0" borderId="12" xfId="0" applyNumberFormat="1" applyFont="1" applyBorder="1" applyAlignment="1">
      <alignment horizontal="center" vertical="center" wrapText="1"/>
    </xf>
    <xf numFmtId="9" fontId="27" fillId="0" borderId="13" xfId="0" applyNumberFormat="1" applyFont="1" applyBorder="1" applyAlignment="1">
      <alignment horizontal="center" vertical="center" wrapText="1"/>
    </xf>
    <xf numFmtId="9" fontId="27" fillId="0" borderId="14" xfId="0" applyNumberFormat="1" applyFont="1" applyBorder="1" applyAlignment="1">
      <alignment horizontal="center" vertical="center" wrapText="1"/>
    </xf>
    <xf numFmtId="164" fontId="27" fillId="0" borderId="14" xfId="0" applyNumberFormat="1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 wrapText="1"/>
    </xf>
    <xf numFmtId="164" fontId="27" fillId="0" borderId="42" xfId="0" applyNumberFormat="1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11" fillId="0" borderId="19" xfId="0" applyFont="1" applyBorder="1" applyAlignment="1">
      <alignment horizontal="center"/>
    </xf>
    <xf numFmtId="0" fontId="18" fillId="0" borderId="15" xfId="0" applyFont="1" applyBorder="1"/>
    <xf numFmtId="0" fontId="5" fillId="0" borderId="47" xfId="0" applyFont="1" applyBorder="1"/>
    <xf numFmtId="0" fontId="5" fillId="0" borderId="48" xfId="0" applyFont="1" applyBorder="1"/>
    <xf numFmtId="0" fontId="11" fillId="5" borderId="15" xfId="0" applyFont="1" applyFill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164" fontId="17" fillId="3" borderId="15" xfId="0" applyNumberFormat="1" applyFont="1" applyFill="1" applyBorder="1" applyAlignment="1">
      <alignment horizontal="center" vertical="center"/>
    </xf>
    <xf numFmtId="164" fontId="17" fillId="3" borderId="15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/>
    </xf>
    <xf numFmtId="0" fontId="11" fillId="0" borderId="22" xfId="0" applyFont="1" applyBorder="1" applyAlignment="1">
      <alignment horizontal="center" wrapText="1"/>
    </xf>
    <xf numFmtId="0" fontId="11" fillId="0" borderId="22" xfId="0" applyFont="1" applyBorder="1" applyAlignment="1">
      <alignment horizontal="center"/>
    </xf>
    <xf numFmtId="0" fontId="29" fillId="0" borderId="0" xfId="0" applyFont="1"/>
    <xf numFmtId="0" fontId="18" fillId="5" borderId="49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4" fillId="5" borderId="50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9" fillId="0" borderId="15" xfId="0" applyFont="1" applyBorder="1"/>
    <xf numFmtId="0" fontId="5" fillId="0" borderId="15" xfId="0" applyFont="1" applyBorder="1"/>
    <xf numFmtId="0" fontId="11" fillId="0" borderId="3" xfId="0" applyFont="1" applyBorder="1" applyAlignment="1">
      <alignment horizontal="center"/>
    </xf>
    <xf numFmtId="0" fontId="31" fillId="5" borderId="51" xfId="0" applyFont="1" applyFill="1" applyBorder="1" applyAlignment="1">
      <alignment horizontal="center" vertical="center" wrapText="1"/>
    </xf>
    <xf numFmtId="0" fontId="32" fillId="5" borderId="52" xfId="0" applyFont="1" applyFill="1" applyBorder="1" applyAlignment="1">
      <alignment horizontal="center" vertical="center" wrapText="1"/>
    </xf>
    <xf numFmtId="0" fontId="5" fillId="0" borderId="53" xfId="0" applyFont="1" applyBorder="1" applyAlignment="1">
      <alignment wrapText="1"/>
    </xf>
    <xf numFmtId="0" fontId="5" fillId="0" borderId="11" xfId="0" applyFont="1" applyBorder="1"/>
    <xf numFmtId="0" fontId="33" fillId="0" borderId="15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34" fillId="9" borderId="54" xfId="0" applyFont="1" applyFill="1" applyBorder="1" applyAlignment="1">
      <alignment horizontal="center" vertical="center" wrapText="1" readingOrder="1"/>
    </xf>
    <xf numFmtId="0" fontId="34" fillId="9" borderId="55" xfId="0" applyFont="1" applyFill="1" applyBorder="1" applyAlignment="1">
      <alignment horizontal="center" vertical="center" wrapText="1" readingOrder="1"/>
    </xf>
    <xf numFmtId="0" fontId="34" fillId="9" borderId="56" xfId="0" applyFont="1" applyFill="1" applyBorder="1" applyAlignment="1">
      <alignment horizontal="center" vertical="center" wrapText="1" readingOrder="1"/>
    </xf>
    <xf numFmtId="0" fontId="32" fillId="0" borderId="57" xfId="0" applyFont="1" applyBorder="1" applyAlignment="1">
      <alignment horizontal="left" vertical="center" wrapText="1" readingOrder="1"/>
    </xf>
    <xf numFmtId="0" fontId="27" fillId="0" borderId="39" xfId="0" applyFont="1" applyBorder="1" applyAlignment="1">
      <alignment horizontal="center" vertical="center" wrapText="1" readingOrder="1"/>
    </xf>
    <xf numFmtId="0" fontId="27" fillId="0" borderId="58" xfId="0" applyFont="1" applyBorder="1" applyAlignment="1">
      <alignment horizontal="center" vertical="center" wrapText="1" readingOrder="1"/>
    </xf>
    <xf numFmtId="0" fontId="32" fillId="0" borderId="59" xfId="0" applyFont="1" applyBorder="1" applyAlignment="1">
      <alignment horizontal="left" vertical="center" wrapText="1" readingOrder="1"/>
    </xf>
    <xf numFmtId="0" fontId="27" fillId="0" borderId="15" xfId="0" applyFont="1" applyBorder="1" applyAlignment="1">
      <alignment horizontal="center" vertical="center" wrapText="1" readingOrder="1"/>
    </xf>
    <xf numFmtId="0" fontId="27" fillId="0" borderId="60" xfId="0" applyFont="1" applyBorder="1" applyAlignment="1">
      <alignment horizontal="center" vertical="center" wrapText="1" readingOrder="1"/>
    </xf>
    <xf numFmtId="0" fontId="32" fillId="0" borderId="62" xfId="0" applyFont="1" applyBorder="1" applyAlignment="1">
      <alignment horizontal="left" vertical="center" wrapText="1" readingOrder="1"/>
    </xf>
    <xf numFmtId="0" fontId="27" fillId="0" borderId="63" xfId="0" applyFont="1" applyBorder="1" applyAlignment="1">
      <alignment horizontal="center" vertical="center" wrapText="1" readingOrder="1"/>
    </xf>
    <xf numFmtId="0" fontId="27" fillId="0" borderId="64" xfId="0" applyFont="1" applyBorder="1" applyAlignment="1">
      <alignment horizontal="center" vertical="center" wrapText="1" readingOrder="1"/>
    </xf>
    <xf numFmtId="0" fontId="4" fillId="10" borderId="2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164" fontId="6" fillId="11" borderId="22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44" fillId="10" borderId="1" xfId="0" applyFont="1" applyFill="1" applyBorder="1" applyAlignment="1">
      <alignment horizontal="left"/>
    </xf>
    <xf numFmtId="0" fontId="4" fillId="10" borderId="1" xfId="0" applyFont="1" applyFill="1" applyBorder="1" applyAlignment="1">
      <alignment horizontal="left" vertical="center" wrapText="1"/>
    </xf>
    <xf numFmtId="0" fontId="2" fillId="10" borderId="2" xfId="0" applyFont="1" applyFill="1" applyBorder="1"/>
    <xf numFmtId="0" fontId="2" fillId="10" borderId="3" xfId="0" applyFont="1" applyFill="1" applyBorder="1"/>
    <xf numFmtId="0" fontId="45" fillId="10" borderId="1" xfId="0" applyFont="1" applyFill="1" applyBorder="1"/>
    <xf numFmtId="0" fontId="46" fillId="10" borderId="2" xfId="0" applyFont="1" applyFill="1" applyBorder="1"/>
    <xf numFmtId="0" fontId="46" fillId="10" borderId="3" xfId="0" applyFont="1" applyFill="1" applyBorder="1"/>
    <xf numFmtId="0" fontId="45" fillId="10" borderId="9" xfId="0" applyFont="1" applyFill="1" applyBorder="1" applyAlignment="1">
      <alignment horizontal="left" wrapText="1"/>
    </xf>
    <xf numFmtId="0" fontId="46" fillId="10" borderId="10" xfId="0" applyFont="1" applyFill="1" applyBorder="1"/>
    <xf numFmtId="0" fontId="46" fillId="10" borderId="1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7" xfId="0" applyFont="1" applyBorder="1"/>
    <xf numFmtId="0" fontId="0" fillId="0" borderId="0" xfId="0" applyFont="1" applyAlignment="1"/>
    <xf numFmtId="0" fontId="2" fillId="0" borderId="9" xfId="0" applyFont="1" applyBorder="1"/>
    <xf numFmtId="0" fontId="2" fillId="0" borderId="10" xfId="0" applyFont="1" applyBorder="1"/>
    <xf numFmtId="0" fontId="6" fillId="0" borderId="4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8" xfId="0" applyFont="1" applyBorder="1"/>
    <xf numFmtId="0" fontId="2" fillId="0" borderId="1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2" fillId="0" borderId="20" xfId="0" applyFont="1" applyBorder="1"/>
    <xf numFmtId="0" fontId="2" fillId="0" borderId="32" xfId="0" applyFont="1" applyBorder="1"/>
    <xf numFmtId="164" fontId="16" fillId="4" borderId="34" xfId="0" applyNumberFormat="1" applyFont="1" applyFill="1" applyBorder="1" applyAlignment="1">
      <alignment horizontal="center" vertical="center" wrapText="1"/>
    </xf>
    <xf numFmtId="0" fontId="2" fillId="0" borderId="35" xfId="0" applyFont="1" applyBorder="1"/>
    <xf numFmtId="0" fontId="2" fillId="0" borderId="36" xfId="0" applyFont="1" applyBorder="1"/>
    <xf numFmtId="0" fontId="11" fillId="2" borderId="19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2" fillId="0" borderId="24" xfId="0" applyFont="1" applyBorder="1"/>
    <xf numFmtId="9" fontId="12" fillId="2" borderId="16" xfId="0" applyNumberFormat="1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9" fontId="14" fillId="2" borderId="16" xfId="0" applyNumberFormat="1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wrapText="1"/>
    </xf>
    <xf numFmtId="0" fontId="11" fillId="2" borderId="16" xfId="0" applyFont="1" applyFill="1" applyBorder="1" applyAlignment="1">
      <alignment horizontal="center" wrapText="1"/>
    </xf>
    <xf numFmtId="0" fontId="11" fillId="2" borderId="17" xfId="0" applyFont="1" applyFill="1" applyBorder="1" applyAlignment="1">
      <alignment horizontal="center" wrapText="1"/>
    </xf>
    <xf numFmtId="0" fontId="2" fillId="0" borderId="21" xfId="0" applyFont="1" applyBorder="1"/>
    <xf numFmtId="0" fontId="11" fillId="2" borderId="1" xfId="0" applyFont="1" applyFill="1" applyBorder="1" applyAlignment="1">
      <alignment horizontal="center" wrapText="1"/>
    </xf>
    <xf numFmtId="0" fontId="11" fillId="2" borderId="18" xfId="0" applyFont="1" applyFill="1" applyBorder="1" applyAlignment="1">
      <alignment horizontal="center" wrapText="1"/>
    </xf>
    <xf numFmtId="0" fontId="2" fillId="0" borderId="23" xfId="0" applyFont="1" applyBorder="1"/>
    <xf numFmtId="0" fontId="19" fillId="0" borderId="37" xfId="0" applyFont="1" applyBorder="1" applyAlignment="1">
      <alignment horizontal="center" vertical="center" textRotation="90"/>
    </xf>
    <xf numFmtId="0" fontId="2" fillId="0" borderId="38" xfId="0" applyFont="1" applyBorder="1"/>
    <xf numFmtId="0" fontId="2" fillId="0" borderId="39" xfId="0" applyFont="1" applyBorder="1"/>
    <xf numFmtId="0" fontId="5" fillId="0" borderId="19" xfId="0" applyFont="1" applyBorder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2" fontId="6" fillId="2" borderId="37" xfId="0" applyNumberFormat="1" applyFont="1" applyFill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6" fillId="4" borderId="19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 textRotation="90" wrapText="1"/>
    </xf>
    <xf numFmtId="0" fontId="24" fillId="7" borderId="17" xfId="0" applyFont="1" applyFill="1" applyBorder="1" applyAlignment="1">
      <alignment horizontal="center" vertical="center" textRotation="90" wrapText="1"/>
    </xf>
    <xf numFmtId="0" fontId="2" fillId="0" borderId="40" xfId="0" applyFont="1" applyBorder="1"/>
    <xf numFmtId="0" fontId="25" fillId="4" borderId="19" xfId="0" applyFont="1" applyFill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5" fillId="0" borderId="19" xfId="0" applyFont="1" applyBorder="1"/>
    <xf numFmtId="0" fontId="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27" fillId="0" borderId="47" xfId="0" applyFont="1" applyBorder="1" applyAlignment="1">
      <alignment horizontal="center" vertical="center" wrapText="1" readingOrder="1"/>
    </xf>
    <xf numFmtId="0" fontId="2" fillId="0" borderId="61" xfId="0" applyFont="1" applyBorder="1"/>
    <xf numFmtId="0" fontId="2" fillId="0" borderId="4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5</xdr:row>
      <xdr:rowOff>66675</xdr:rowOff>
    </xdr:from>
    <xdr:ext cx="1390650" cy="400050"/>
    <xdr:pic>
      <xdr:nvPicPr>
        <xdr:cNvPr id="2" name="image1.png" descr="logo_icesi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781050</xdr:colOff>
      <xdr:row>1</xdr:row>
      <xdr:rowOff>85725</xdr:rowOff>
    </xdr:from>
    <xdr:ext cx="1905000" cy="533400"/>
    <xdr:pic>
      <xdr:nvPicPr>
        <xdr:cNvPr id="2" name="image1.png" descr="logo_icesi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19050</xdr:rowOff>
    </xdr:from>
    <xdr:ext cx="1847850" cy="542925"/>
    <xdr:pic>
      <xdr:nvPicPr>
        <xdr:cNvPr id="2" name="image1.png" descr="logo_icesi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1</xdr:row>
      <xdr:rowOff>133350</xdr:rowOff>
    </xdr:from>
    <xdr:ext cx="1276350" cy="495300"/>
    <xdr:pic>
      <xdr:nvPicPr>
        <xdr:cNvPr id="2" name="image1.png" descr="logo_icesi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971550</xdr:colOff>
      <xdr:row>2</xdr:row>
      <xdr:rowOff>9525</xdr:rowOff>
    </xdr:from>
    <xdr:ext cx="1276350" cy="495300"/>
    <xdr:pic>
      <xdr:nvPicPr>
        <xdr:cNvPr id="2" name="image1.png" descr="logo_icesi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2</xdr:row>
      <xdr:rowOff>95250</xdr:rowOff>
    </xdr:from>
    <xdr:ext cx="2819400" cy="838200"/>
    <xdr:pic>
      <xdr:nvPicPr>
        <xdr:cNvPr id="2" name="image1.png" descr="logo_icesi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1</xdr:row>
      <xdr:rowOff>95250</xdr:rowOff>
    </xdr:from>
    <xdr:ext cx="2905125" cy="895350"/>
    <xdr:pic>
      <xdr:nvPicPr>
        <xdr:cNvPr id="2" name="image1.png" descr="logo_icesi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3"/>
  <sheetViews>
    <sheetView tabSelected="1" workbookViewId="0">
      <selection activeCell="D29" sqref="D29"/>
    </sheetView>
  </sheetViews>
  <sheetFormatPr baseColWidth="10" defaultColWidth="14.42578125" defaultRowHeight="15" customHeight="1" x14ac:dyDescent="0.2"/>
  <cols>
    <col min="1" max="1" width="11.42578125" customWidth="1"/>
    <col min="2" max="2" width="53" customWidth="1"/>
    <col min="3" max="3" width="4.5703125" customWidth="1"/>
    <col min="4" max="11" width="11.42578125" customWidth="1"/>
    <col min="12" max="12" width="17.140625" customWidth="1"/>
  </cols>
  <sheetData>
    <row r="1" spans="2:12" ht="13.5" customHeight="1" x14ac:dyDescent="0.2"/>
    <row r="2" spans="2:12" ht="13.5" customHeight="1" x14ac:dyDescent="0.2"/>
    <row r="3" spans="2:12" ht="23.25" x14ac:dyDescent="0.35">
      <c r="B3" s="160" t="s">
        <v>330</v>
      </c>
      <c r="C3" s="161"/>
      <c r="D3" s="161"/>
      <c r="E3" s="161"/>
      <c r="F3" s="162"/>
      <c r="G3" s="1"/>
      <c r="H3" s="1"/>
      <c r="I3" s="1"/>
      <c r="J3" s="1"/>
      <c r="K3" s="1"/>
      <c r="L3" s="1"/>
    </row>
    <row r="4" spans="2:12" ht="13.5" customHeight="1" x14ac:dyDescent="0.25">
      <c r="B4" s="2"/>
      <c r="C4" s="3"/>
      <c r="D4" s="3"/>
      <c r="E4" s="3"/>
      <c r="F4" s="3"/>
      <c r="G4" s="1"/>
      <c r="H4" s="1"/>
      <c r="I4" s="1"/>
      <c r="J4" s="1"/>
      <c r="K4" s="1"/>
      <c r="L4" s="1"/>
    </row>
    <row r="5" spans="2:12" ht="12.75" customHeight="1" x14ac:dyDescent="0.2">
      <c r="B5" s="163"/>
      <c r="C5" s="164"/>
      <c r="D5" s="169" t="s">
        <v>327</v>
      </c>
      <c r="E5" s="164"/>
      <c r="F5" s="164"/>
      <c r="G5" s="164"/>
      <c r="H5" s="164"/>
      <c r="I5" s="164"/>
      <c r="J5" s="164"/>
      <c r="K5" s="164"/>
      <c r="L5" s="170"/>
    </row>
    <row r="6" spans="2:12" ht="12.75" customHeight="1" x14ac:dyDescent="0.2">
      <c r="B6" s="165"/>
      <c r="C6" s="166"/>
      <c r="D6" s="165"/>
      <c r="E6" s="166"/>
      <c r="F6" s="166"/>
      <c r="G6" s="166"/>
      <c r="H6" s="166"/>
      <c r="I6" s="166"/>
      <c r="J6" s="166"/>
      <c r="K6" s="166"/>
      <c r="L6" s="171"/>
    </row>
    <row r="7" spans="2:12" ht="12.75" customHeight="1" x14ac:dyDescent="0.2">
      <c r="B7" s="165"/>
      <c r="C7" s="166"/>
      <c r="D7" s="165"/>
      <c r="E7" s="166"/>
      <c r="F7" s="166"/>
      <c r="G7" s="166"/>
      <c r="H7" s="166"/>
      <c r="I7" s="166"/>
      <c r="J7" s="166"/>
      <c r="K7" s="166"/>
      <c r="L7" s="171"/>
    </row>
    <row r="8" spans="2:12" ht="12.75" customHeight="1" x14ac:dyDescent="0.2">
      <c r="B8" s="165"/>
      <c r="C8" s="166"/>
      <c r="D8" s="165"/>
      <c r="E8" s="166"/>
      <c r="F8" s="166"/>
      <c r="G8" s="166"/>
      <c r="H8" s="166"/>
      <c r="I8" s="166"/>
      <c r="J8" s="166"/>
      <c r="K8" s="166"/>
      <c r="L8" s="171"/>
    </row>
    <row r="9" spans="2:12" ht="13.5" customHeight="1" x14ac:dyDescent="0.2">
      <c r="B9" s="167"/>
      <c r="C9" s="168"/>
      <c r="D9" s="167"/>
      <c r="E9" s="168"/>
      <c r="F9" s="168"/>
      <c r="G9" s="168"/>
      <c r="H9" s="168"/>
      <c r="I9" s="168"/>
      <c r="J9" s="168"/>
      <c r="K9" s="168"/>
      <c r="L9" s="172"/>
    </row>
    <row r="10" spans="2:12" ht="13.5" customHeight="1" x14ac:dyDescent="0.2"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</row>
    <row r="11" spans="2:12" ht="20.25" x14ac:dyDescent="0.3">
      <c r="B11" s="173" t="s">
        <v>0</v>
      </c>
      <c r="C11" s="161"/>
      <c r="D11" s="162"/>
      <c r="E11" s="3"/>
      <c r="F11" s="173" t="s">
        <v>328</v>
      </c>
      <c r="G11" s="161"/>
      <c r="H11" s="161"/>
      <c r="I11" s="161"/>
      <c r="J11" s="161"/>
      <c r="K11" s="161"/>
      <c r="L11" s="162"/>
    </row>
    <row r="12" spans="2:12" ht="83.25" customHeight="1" x14ac:dyDescent="0.2">
      <c r="B12" s="174" t="s">
        <v>1</v>
      </c>
      <c r="C12" s="161"/>
      <c r="D12" s="162"/>
      <c r="E12" s="6"/>
      <c r="F12" s="151" t="s">
        <v>331</v>
      </c>
      <c r="G12" s="152"/>
      <c r="H12" s="152"/>
      <c r="I12" s="152"/>
      <c r="J12" s="152"/>
      <c r="K12" s="152"/>
      <c r="L12" s="153"/>
    </row>
    <row r="13" spans="2:12" ht="13.5" customHeight="1" thickBot="1" x14ac:dyDescent="0.35">
      <c r="B13" s="7"/>
      <c r="C13" s="8"/>
      <c r="D13" s="8"/>
      <c r="E13" s="8"/>
      <c r="F13" s="8"/>
    </row>
    <row r="14" spans="2:12" s="149" customFormat="1" ht="13.5" customHeight="1" thickBot="1" x14ac:dyDescent="0.35">
      <c r="B14" s="169" t="s">
        <v>2</v>
      </c>
      <c r="C14" s="164"/>
      <c r="D14" s="170"/>
      <c r="E14" s="9"/>
      <c r="F14" s="154"/>
      <c r="G14" s="155"/>
      <c r="H14" s="155"/>
      <c r="I14" s="155"/>
      <c r="J14" s="155"/>
      <c r="K14" s="155"/>
      <c r="L14" s="156"/>
    </row>
    <row r="15" spans="2:12" s="149" customFormat="1" ht="13.5" customHeight="1" thickBot="1" x14ac:dyDescent="0.35">
      <c r="B15" s="165"/>
      <c r="C15" s="166"/>
      <c r="D15" s="171"/>
      <c r="E15" s="9"/>
      <c r="F15" s="154"/>
      <c r="G15" s="155"/>
      <c r="H15" s="155"/>
      <c r="I15" s="155"/>
      <c r="J15" s="155"/>
      <c r="K15" s="155"/>
      <c r="L15" s="156"/>
    </row>
    <row r="16" spans="2:12" s="149" customFormat="1" ht="13.5" customHeight="1" thickBot="1" x14ac:dyDescent="0.35">
      <c r="B16" s="167"/>
      <c r="C16" s="168"/>
      <c r="D16" s="172"/>
      <c r="E16" s="9"/>
      <c r="F16" s="157"/>
      <c r="G16" s="158"/>
      <c r="H16" s="158"/>
      <c r="I16" s="158"/>
      <c r="J16" s="158"/>
      <c r="K16" s="158"/>
      <c r="L16" s="159"/>
    </row>
    <row r="17" spans="2:12" ht="13.5" customHeight="1" thickBot="1" x14ac:dyDescent="0.25">
      <c r="F17" s="154"/>
      <c r="G17" s="155"/>
      <c r="H17" s="155"/>
      <c r="I17" s="155"/>
      <c r="J17" s="155"/>
      <c r="K17" s="155"/>
      <c r="L17" s="156"/>
    </row>
    <row r="18" spans="2:12" ht="13.5" customHeight="1" thickBot="1" x14ac:dyDescent="0.25">
      <c r="F18" s="154"/>
      <c r="G18" s="155"/>
      <c r="H18" s="155"/>
      <c r="I18" s="155"/>
      <c r="J18" s="155"/>
      <c r="K18" s="155"/>
      <c r="L18" s="156"/>
    </row>
    <row r="19" spans="2:12" ht="13.5" customHeight="1" thickBot="1" x14ac:dyDescent="0.25">
      <c r="F19" s="157"/>
      <c r="G19" s="158"/>
      <c r="H19" s="158"/>
      <c r="I19" s="158"/>
      <c r="J19" s="158"/>
      <c r="K19" s="158"/>
      <c r="L19" s="159"/>
    </row>
    <row r="20" spans="2:12" ht="13.5" customHeight="1" x14ac:dyDescent="0.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2:12" ht="13.5" customHeight="1" x14ac:dyDescent="0.25">
      <c r="B21" s="2"/>
      <c r="C21" s="3"/>
      <c r="D21" s="3"/>
      <c r="E21" s="3"/>
      <c r="F21" s="3"/>
      <c r="G21" s="1"/>
      <c r="H21" s="1"/>
      <c r="I21" s="1"/>
    </row>
    <row r="22" spans="2:12" ht="18" x14ac:dyDescent="0.25">
      <c r="B22" s="10" t="s">
        <v>3</v>
      </c>
      <c r="C22" s="3"/>
      <c r="D22" s="11" t="s">
        <v>329</v>
      </c>
      <c r="E22" s="12"/>
      <c r="F22" s="12"/>
      <c r="G22" s="12"/>
      <c r="H22" s="12"/>
      <c r="I22" s="12"/>
      <c r="J22" s="13"/>
    </row>
    <row r="23" spans="2:12" ht="18" x14ac:dyDescent="0.25">
      <c r="B23" s="14" t="s">
        <v>4</v>
      </c>
      <c r="C23" s="3"/>
      <c r="D23" s="150"/>
      <c r="E23" s="146"/>
      <c r="F23" s="146"/>
      <c r="G23" s="146"/>
      <c r="H23" s="146"/>
      <c r="I23" s="146"/>
      <c r="J23" s="147"/>
    </row>
    <row r="24" spans="2:12" ht="18" x14ac:dyDescent="0.25">
      <c r="B24" s="15" t="s">
        <v>5</v>
      </c>
      <c r="C24" s="3"/>
      <c r="D24" s="11" t="s">
        <v>328</v>
      </c>
      <c r="E24" s="12"/>
      <c r="F24" s="12"/>
      <c r="G24" s="12"/>
      <c r="H24" s="12"/>
      <c r="I24" s="12"/>
      <c r="J24" s="13"/>
    </row>
    <row r="25" spans="2:12" ht="18" customHeight="1" x14ac:dyDescent="0.2">
      <c r="B25" s="1"/>
      <c r="C25" s="1"/>
      <c r="D25" s="1"/>
      <c r="E25" s="1"/>
      <c r="F25" s="1"/>
      <c r="G25" s="1"/>
      <c r="H25" s="1"/>
      <c r="I25" s="1"/>
    </row>
    <row r="26" spans="2:12" ht="13.5" customHeight="1" x14ac:dyDescent="0.2"/>
    <row r="27" spans="2:12" ht="13.5" customHeight="1" x14ac:dyDescent="0.2"/>
    <row r="28" spans="2:12" ht="13.5" customHeight="1" x14ac:dyDescent="0.2"/>
    <row r="29" spans="2:12" ht="13.5" customHeight="1" x14ac:dyDescent="0.2"/>
    <row r="30" spans="2:12" ht="13.5" customHeight="1" x14ac:dyDescent="0.2"/>
    <row r="31" spans="2:12" ht="13.5" customHeight="1" x14ac:dyDescent="0.2"/>
    <row r="32" spans="2:1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14">
    <mergeCell ref="F17:L17"/>
    <mergeCell ref="F18:L18"/>
    <mergeCell ref="F19:L19"/>
    <mergeCell ref="F12:L12"/>
    <mergeCell ref="F14:L14"/>
    <mergeCell ref="F15:L15"/>
    <mergeCell ref="F16:L16"/>
    <mergeCell ref="B3:F3"/>
    <mergeCell ref="B5:C9"/>
    <mergeCell ref="D5:L9"/>
    <mergeCell ref="B11:D11"/>
    <mergeCell ref="F11:L11"/>
    <mergeCell ref="B12:D12"/>
    <mergeCell ref="B14:D16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000"/>
  <sheetViews>
    <sheetView topLeftCell="A27" zoomScale="85" zoomScaleNormal="85" workbookViewId="0">
      <selection activeCell="H18" sqref="H18:H40"/>
    </sheetView>
  </sheetViews>
  <sheetFormatPr baseColWidth="10" defaultColWidth="14.42578125" defaultRowHeight="15" customHeight="1" x14ac:dyDescent="0.2"/>
  <cols>
    <col min="1" max="1" width="10.85546875" customWidth="1"/>
    <col min="2" max="2" width="58.42578125" customWidth="1"/>
    <col min="3" max="3" width="29" customWidth="1"/>
    <col min="4" max="4" width="18.42578125" customWidth="1"/>
    <col min="5" max="5" width="15.7109375" customWidth="1"/>
    <col min="6" max="6" width="87.85546875" customWidth="1"/>
    <col min="7" max="7" width="31.42578125" customWidth="1"/>
    <col min="8" max="8" width="25.85546875" customWidth="1"/>
    <col min="9" max="10" width="10.85546875" customWidth="1"/>
    <col min="11" max="11" width="25.5703125" customWidth="1"/>
    <col min="12" max="23" width="10.85546875" customWidth="1"/>
  </cols>
  <sheetData>
    <row r="1" spans="2:14" ht="13.5" customHeight="1" x14ac:dyDescent="0.2"/>
    <row r="2" spans="2:14" ht="13.5" customHeight="1" x14ac:dyDescent="0.2">
      <c r="B2" s="163"/>
      <c r="C2" s="164"/>
      <c r="D2" s="169" t="s">
        <v>327</v>
      </c>
      <c r="E2" s="164"/>
      <c r="F2" s="164"/>
      <c r="G2" s="164"/>
      <c r="H2" s="170"/>
    </row>
    <row r="3" spans="2:14" ht="13.5" customHeight="1" x14ac:dyDescent="0.2">
      <c r="B3" s="165"/>
      <c r="C3" s="166"/>
      <c r="D3" s="165"/>
      <c r="E3" s="166"/>
      <c r="F3" s="166"/>
      <c r="G3" s="166"/>
      <c r="H3" s="171"/>
    </row>
    <row r="4" spans="2:14" ht="13.5" customHeight="1" x14ac:dyDescent="0.2">
      <c r="B4" s="165"/>
      <c r="C4" s="166"/>
      <c r="D4" s="165"/>
      <c r="E4" s="166"/>
      <c r="F4" s="166"/>
      <c r="G4" s="166"/>
      <c r="H4" s="171"/>
    </row>
    <row r="5" spans="2:14" ht="13.5" customHeight="1" x14ac:dyDescent="0.2">
      <c r="B5" s="165"/>
      <c r="C5" s="166"/>
      <c r="D5" s="165"/>
      <c r="E5" s="166"/>
      <c r="F5" s="166"/>
      <c r="G5" s="166"/>
      <c r="H5" s="171"/>
    </row>
    <row r="6" spans="2:14" ht="15" customHeight="1" x14ac:dyDescent="0.2">
      <c r="B6" s="167"/>
      <c r="C6" s="168"/>
      <c r="D6" s="167"/>
      <c r="E6" s="168"/>
      <c r="F6" s="168"/>
      <c r="G6" s="168"/>
      <c r="H6" s="172"/>
    </row>
    <row r="7" spans="2:14" ht="15" customHeight="1" x14ac:dyDescent="0.2">
      <c r="B7" s="16"/>
      <c r="C7" s="16"/>
      <c r="D7" s="5"/>
      <c r="E7" s="5"/>
      <c r="F7" s="5"/>
      <c r="G7" s="5"/>
      <c r="H7" s="5"/>
    </row>
    <row r="8" spans="2:14" ht="23.25" x14ac:dyDescent="0.2">
      <c r="B8" s="17" t="s">
        <v>6</v>
      </c>
      <c r="C8" s="17" t="s">
        <v>7</v>
      </c>
      <c r="D8" s="5"/>
      <c r="E8" s="5"/>
      <c r="F8" s="5"/>
      <c r="G8" s="5"/>
      <c r="H8" s="5"/>
    </row>
    <row r="9" spans="2:14" ht="23.25" x14ac:dyDescent="0.35">
      <c r="B9" s="18" t="s">
        <v>8</v>
      </c>
      <c r="C9" s="19" t="s">
        <v>9</v>
      </c>
      <c r="D9" s="5"/>
      <c r="E9" s="5"/>
      <c r="F9" s="5"/>
      <c r="G9" s="5"/>
      <c r="H9" s="5"/>
    </row>
    <row r="10" spans="2:14" ht="23.25" x14ac:dyDescent="0.35">
      <c r="B10" s="18" t="s">
        <v>10</v>
      </c>
      <c r="C10" s="19" t="s">
        <v>11</v>
      </c>
      <c r="D10" s="5"/>
      <c r="E10" s="5"/>
      <c r="F10" s="5"/>
      <c r="G10" s="5"/>
      <c r="H10" s="5"/>
    </row>
    <row r="11" spans="2:14" ht="23.25" x14ac:dyDescent="0.35">
      <c r="B11" s="18" t="s">
        <v>12</v>
      </c>
      <c r="C11" s="19" t="s">
        <v>13</v>
      </c>
      <c r="D11" s="5"/>
      <c r="E11" s="5"/>
      <c r="F11" s="5"/>
      <c r="G11" s="5"/>
      <c r="H11" s="5"/>
    </row>
    <row r="12" spans="2:14" ht="23.25" x14ac:dyDescent="0.35">
      <c r="B12" s="18" t="s">
        <v>14</v>
      </c>
      <c r="C12" s="19" t="s">
        <v>15</v>
      </c>
      <c r="D12" s="5"/>
      <c r="E12" s="5"/>
      <c r="F12" s="5"/>
      <c r="G12" s="5"/>
      <c r="H12" s="5"/>
    </row>
    <row r="13" spans="2:14" ht="15" customHeight="1" x14ac:dyDescent="0.2">
      <c r="B13" s="16"/>
      <c r="C13" s="16"/>
      <c r="D13" s="5"/>
      <c r="E13" s="5"/>
      <c r="F13" s="5"/>
      <c r="G13" s="5"/>
      <c r="H13" s="5"/>
    </row>
    <row r="14" spans="2:14" ht="13.5" customHeight="1" x14ac:dyDescent="0.2">
      <c r="B14" s="16"/>
      <c r="C14" s="16"/>
      <c r="D14" s="16"/>
      <c r="E14" s="16"/>
      <c r="F14" s="5"/>
      <c r="G14" s="5"/>
      <c r="H14" s="5"/>
    </row>
    <row r="15" spans="2:14" ht="23.25" x14ac:dyDescent="0.35">
      <c r="B15" s="160" t="s">
        <v>16</v>
      </c>
      <c r="C15" s="162"/>
      <c r="D15" s="5"/>
      <c r="E15" s="5"/>
      <c r="F15" s="5"/>
      <c r="G15" s="5"/>
      <c r="H15" s="5"/>
      <c r="N15" s="20"/>
    </row>
    <row r="16" spans="2:14" ht="36.75" customHeight="1" x14ac:dyDescent="0.4">
      <c r="B16" s="189" t="s">
        <v>17</v>
      </c>
      <c r="C16" s="190" t="s">
        <v>18</v>
      </c>
      <c r="D16" s="192" t="s">
        <v>19</v>
      </c>
      <c r="E16" s="162"/>
      <c r="F16" s="193" t="s">
        <v>20</v>
      </c>
      <c r="G16" s="188" t="s">
        <v>21</v>
      </c>
      <c r="H16" s="188" t="s">
        <v>22</v>
      </c>
    </row>
    <row r="17" spans="1:23" ht="55.5" x14ac:dyDescent="0.4">
      <c r="B17" s="177"/>
      <c r="C17" s="191"/>
      <c r="D17" s="21" t="s">
        <v>23</v>
      </c>
      <c r="E17" s="21" t="s">
        <v>24</v>
      </c>
      <c r="F17" s="194"/>
      <c r="G17" s="184"/>
      <c r="H17" s="184"/>
    </row>
    <row r="18" spans="1:23" ht="23.25" x14ac:dyDescent="0.2">
      <c r="B18" s="182" t="str">
        <f>Rúbrica!A11</f>
        <v>Escritura del documento</v>
      </c>
      <c r="C18" s="185">
        <f>SUM(G18:G21)</f>
        <v>0.16999999999999998</v>
      </c>
      <c r="D18" s="22"/>
      <c r="E18" s="22" t="s">
        <v>25</v>
      </c>
      <c r="F18" s="23" t="str">
        <f>Rúbrica!B11</f>
        <v>Ortografía, vocabulario, gramática.</v>
      </c>
      <c r="G18" s="24">
        <v>0.04</v>
      </c>
      <c r="H18" s="148"/>
      <c r="J18" s="25"/>
    </row>
    <row r="19" spans="1:23" ht="23.25" x14ac:dyDescent="0.2">
      <c r="B19" s="183"/>
      <c r="C19" s="176"/>
      <c r="D19" s="22"/>
      <c r="E19" s="22" t="s">
        <v>25</v>
      </c>
      <c r="F19" s="23" t="str">
        <f>Rúbrica!B12</f>
        <v>Cohesión y coherencia.</v>
      </c>
      <c r="G19" s="24">
        <v>0.04</v>
      </c>
      <c r="H19" s="148"/>
      <c r="J19" s="25"/>
      <c r="M19" s="20"/>
    </row>
    <row r="20" spans="1:23" ht="23.25" x14ac:dyDescent="0.2">
      <c r="A20" s="26"/>
      <c r="B20" s="183"/>
      <c r="C20" s="176"/>
      <c r="D20" s="22"/>
      <c r="E20" s="22" t="s">
        <v>25</v>
      </c>
      <c r="F20" s="23" t="str">
        <f>Rúbrica!B13</f>
        <v>Citaciones y Bibliografía</v>
      </c>
      <c r="G20" s="24">
        <v>0.04</v>
      </c>
      <c r="H20" s="148"/>
      <c r="J20" s="25"/>
    </row>
    <row r="21" spans="1:23" ht="51" customHeight="1" x14ac:dyDescent="0.2">
      <c r="B21" s="184"/>
      <c r="C21" s="177"/>
      <c r="D21" s="22"/>
      <c r="E21" s="22" t="s">
        <v>25</v>
      </c>
      <c r="F21" s="23" t="str">
        <f>Rúbrica!B14</f>
        <v>Estructura IMRC</v>
      </c>
      <c r="G21" s="24">
        <v>0.05</v>
      </c>
      <c r="H21" s="148"/>
      <c r="J21" s="25"/>
    </row>
    <row r="22" spans="1:23" ht="30" customHeight="1" x14ac:dyDescent="0.2">
      <c r="A22" s="26"/>
      <c r="B22" s="186" t="str">
        <f>Rúbrica!A15</f>
        <v>Fundamentación Teórica</v>
      </c>
      <c r="C22" s="187">
        <f>SUM(G22:G23)</f>
        <v>0.06</v>
      </c>
      <c r="D22" s="27"/>
      <c r="E22" s="27" t="s">
        <v>25</v>
      </c>
      <c r="F22" s="23" t="str">
        <f>Rúbrica!B15</f>
        <v>Marco Teórico</v>
      </c>
      <c r="G22" s="24">
        <v>0.02</v>
      </c>
      <c r="H22" s="148"/>
      <c r="J22" s="25"/>
    </row>
    <row r="23" spans="1:23" ht="37.5" customHeight="1" x14ac:dyDescent="0.2">
      <c r="B23" s="176"/>
      <c r="C23" s="177"/>
      <c r="D23" s="28"/>
      <c r="E23" s="28" t="s">
        <v>25</v>
      </c>
      <c r="F23" s="23" t="str">
        <f>Rúbrica!B16</f>
        <v>Estado del Arte</v>
      </c>
      <c r="G23" s="24">
        <v>0.04</v>
      </c>
      <c r="H23" s="148"/>
      <c r="J23" s="25"/>
    </row>
    <row r="24" spans="1:23" ht="46.5" customHeight="1" x14ac:dyDescent="0.2">
      <c r="A24" s="20"/>
      <c r="B24" s="182" t="str">
        <f>Rúbrica!A17</f>
        <v>Constitución del proyecto</v>
      </c>
      <c r="C24" s="185">
        <f>SUM(G24:G26)</f>
        <v>0.1</v>
      </c>
      <c r="D24" s="22"/>
      <c r="E24" s="29" t="s">
        <v>25</v>
      </c>
      <c r="F24" s="23" t="str">
        <f>Rúbrica!B17</f>
        <v>Formulación del Problema de Negocio (motivación y antecedentes).</v>
      </c>
      <c r="G24" s="24">
        <v>0.04</v>
      </c>
      <c r="H24" s="148"/>
      <c r="J24" s="25"/>
    </row>
    <row r="25" spans="1:23" ht="21.75" customHeight="1" x14ac:dyDescent="0.2">
      <c r="A25" s="20"/>
      <c r="B25" s="183"/>
      <c r="C25" s="176"/>
      <c r="D25" s="22"/>
      <c r="E25" s="29" t="s">
        <v>25</v>
      </c>
      <c r="F25" s="23" t="str">
        <f>Rúbrica!B18</f>
        <v>Objetivos</v>
      </c>
      <c r="G25" s="30">
        <v>0.04</v>
      </c>
      <c r="H25" s="148"/>
      <c r="J25" s="25"/>
    </row>
    <row r="26" spans="1:23" ht="45" customHeight="1" x14ac:dyDescent="0.2">
      <c r="B26" s="183"/>
      <c r="C26" s="176"/>
      <c r="D26" s="22"/>
      <c r="E26" s="22" t="s">
        <v>25</v>
      </c>
      <c r="F26" s="23" t="str">
        <f>Rúbrica!B19</f>
        <v>Metodología</v>
      </c>
      <c r="G26" s="24">
        <v>0.02</v>
      </c>
      <c r="H26" s="148"/>
      <c r="J26" s="25"/>
    </row>
    <row r="27" spans="1:23" ht="72" customHeight="1" x14ac:dyDescent="0.2">
      <c r="A27" s="31"/>
      <c r="B27" s="175" t="str">
        <f>Rúbrica!A20</f>
        <v>Aplicación de Ciencia de Datos</v>
      </c>
      <c r="C27" s="185">
        <f>SUM(G27:G36)</f>
        <v>0.37</v>
      </c>
      <c r="D27" s="22"/>
      <c r="E27" s="22" t="s">
        <v>25</v>
      </c>
      <c r="F27" s="23" t="str">
        <f>Rúbrica!B20</f>
        <v>Selección y estudio de viabilidad del dataset para un proyecto de ciencias de datos.</v>
      </c>
      <c r="G27" s="24">
        <v>0.02</v>
      </c>
      <c r="H27" s="148"/>
      <c r="I27" s="31"/>
      <c r="J27" s="25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</row>
    <row r="28" spans="1:23" ht="42.75" customHeight="1" x14ac:dyDescent="0.2">
      <c r="A28" s="31"/>
      <c r="B28" s="176"/>
      <c r="C28" s="176"/>
      <c r="D28" s="22"/>
      <c r="E28" s="22" t="s">
        <v>25</v>
      </c>
      <c r="F28" s="32" t="str">
        <f>Rúbrica!B21</f>
        <v>Identificación del tipo de problema y del paradigma de IA adecuado para abordarlo.</v>
      </c>
      <c r="G28" s="24">
        <v>0.02</v>
      </c>
      <c r="H28" s="148"/>
      <c r="I28" s="31"/>
      <c r="J28" s="25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</row>
    <row r="29" spans="1:23" ht="42.75" customHeight="1" x14ac:dyDescent="0.2">
      <c r="A29" s="31"/>
      <c r="B29" s="176"/>
      <c r="C29" s="176"/>
      <c r="D29" s="22"/>
      <c r="E29" s="22" t="s">
        <v>25</v>
      </c>
      <c r="F29" s="23" t="str">
        <f>Rúbrica!B22</f>
        <v>Revisión y justificación sobre el proceso de selección y descarte de features. </v>
      </c>
      <c r="G29" s="24">
        <v>0.04</v>
      </c>
      <c r="H29" s="148"/>
      <c r="I29" s="31"/>
      <c r="J29" s="25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</row>
    <row r="30" spans="1:23" ht="42.75" customHeight="1" x14ac:dyDescent="0.2">
      <c r="A30" s="31"/>
      <c r="B30" s="176"/>
      <c r="C30" s="176"/>
      <c r="D30" s="22"/>
      <c r="E30" s="22" t="s">
        <v>25</v>
      </c>
      <c r="F30" s="23" t="str">
        <f>Rúbrica!B23</f>
        <v>Acciones de preprocesamiento y su justificación.</v>
      </c>
      <c r="G30" s="24">
        <v>0.02</v>
      </c>
      <c r="H30" s="148"/>
      <c r="I30" s="31"/>
      <c r="J30" s="25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</row>
    <row r="31" spans="1:23" ht="42.75" customHeight="1" x14ac:dyDescent="0.2">
      <c r="A31" s="31"/>
      <c r="B31" s="176"/>
      <c r="C31" s="176"/>
      <c r="D31" s="22"/>
      <c r="E31" s="22" t="s">
        <v>25</v>
      </c>
      <c r="F31" s="32" t="str">
        <f>Rúbrica!B24</f>
        <v>Selección y justificación de los algoritmos de entrenamiento.</v>
      </c>
      <c r="G31" s="24">
        <v>0.02</v>
      </c>
      <c r="H31" s="148"/>
      <c r="I31" s="31"/>
      <c r="J31" s="25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</row>
    <row r="32" spans="1:23" ht="42.75" customHeight="1" x14ac:dyDescent="0.2">
      <c r="A32" s="31"/>
      <c r="B32" s="176"/>
      <c r="C32" s="176"/>
      <c r="D32" s="22"/>
      <c r="E32" s="22" t="s">
        <v>25</v>
      </c>
      <c r="F32" s="23" t="str">
        <f>Rúbrica!B25</f>
        <v>Selección y justificación de las métricas de desempeño.</v>
      </c>
      <c r="G32" s="24">
        <v>0.02</v>
      </c>
      <c r="H32" s="148"/>
      <c r="I32" s="31"/>
      <c r="J32" s="25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</row>
    <row r="33" spans="1:23" ht="21.75" customHeight="1" x14ac:dyDescent="0.2">
      <c r="A33" s="31"/>
      <c r="B33" s="176"/>
      <c r="C33" s="176"/>
      <c r="D33" s="22"/>
      <c r="E33" s="22" t="s">
        <v>25</v>
      </c>
      <c r="F33" s="23" t="str">
        <f>Rúbrica!B26</f>
        <v>Generación de modelos de IA.</v>
      </c>
      <c r="G33" s="24">
        <v>0.02</v>
      </c>
      <c r="H33" s="148"/>
      <c r="I33" s="31"/>
      <c r="J33" s="25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</row>
    <row r="34" spans="1:23" ht="21.75" customHeight="1" x14ac:dyDescent="0.2">
      <c r="A34" s="31"/>
      <c r="B34" s="176"/>
      <c r="C34" s="176"/>
      <c r="D34" s="22"/>
      <c r="E34" s="22" t="s">
        <v>25</v>
      </c>
      <c r="F34" s="32" t="str">
        <f>Rúbrica!B27</f>
        <v>Estrategias de optimización para cada modelo.</v>
      </c>
      <c r="G34" s="24">
        <v>0.02</v>
      </c>
      <c r="H34" s="148"/>
      <c r="I34" s="31"/>
      <c r="J34" s="25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</row>
    <row r="35" spans="1:23" ht="42.75" customHeight="1" x14ac:dyDescent="0.2">
      <c r="A35" s="31"/>
      <c r="B35" s="176"/>
      <c r="C35" s="176"/>
      <c r="D35" s="22"/>
      <c r="E35" s="22" t="s">
        <v>25</v>
      </c>
      <c r="F35" s="23" t="str">
        <f>Rúbrica!B28</f>
        <v>Comparativo de los modelos de IA a través de la discusión y análisis desde las métricas de desempeño.</v>
      </c>
      <c r="G35" s="24">
        <v>0.04</v>
      </c>
      <c r="H35" s="148"/>
      <c r="I35" s="31"/>
      <c r="J35" s="25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</row>
    <row r="36" spans="1:23" ht="42.75" customHeight="1" x14ac:dyDescent="0.2">
      <c r="A36" s="31"/>
      <c r="B36" s="177"/>
      <c r="C36" s="176"/>
      <c r="D36" s="22"/>
      <c r="E36" s="22" t="s">
        <v>25</v>
      </c>
      <c r="F36" s="23" t="str">
        <f>Rúbrica!B29</f>
        <v>VoBO y feedback del stakeholder del sector industria.</v>
      </c>
      <c r="G36" s="24">
        <v>0.15</v>
      </c>
      <c r="H36" s="148"/>
      <c r="I36" s="31"/>
      <c r="J36" s="25"/>
      <c r="K36" s="33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</row>
    <row r="37" spans="1:23" ht="21.75" customHeight="1" x14ac:dyDescent="0.2">
      <c r="A37" s="31"/>
      <c r="B37" s="175" t="str">
        <f>Rúbrica!A30</f>
        <v>Sustentación</v>
      </c>
      <c r="C37" s="185">
        <f>SUM(G37:G40)</f>
        <v>0.30000000000000004</v>
      </c>
      <c r="D37" s="22"/>
      <c r="E37" s="22" t="s">
        <v>25</v>
      </c>
      <c r="F37" s="34" t="str">
        <f>Rúbrica!B30</f>
        <v xml:space="preserve">Presentación e  Introducción </v>
      </c>
      <c r="G37" s="24">
        <v>0.06</v>
      </c>
      <c r="H37" s="148"/>
      <c r="I37" s="31"/>
      <c r="J37" s="25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</row>
    <row r="38" spans="1:23" ht="21.75" customHeight="1" x14ac:dyDescent="0.2">
      <c r="A38" s="31"/>
      <c r="B38" s="176"/>
      <c r="C38" s="176"/>
      <c r="D38" s="29"/>
      <c r="E38" s="22" t="s">
        <v>25</v>
      </c>
      <c r="F38" s="35" t="str">
        <f>Rúbrica!B31</f>
        <v xml:space="preserve">Estructura de la  presentación </v>
      </c>
      <c r="G38" s="24">
        <v>0.04</v>
      </c>
      <c r="H38" s="148"/>
      <c r="I38" s="31"/>
      <c r="J38" s="25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</row>
    <row r="39" spans="1:23" ht="21.75" customHeight="1" x14ac:dyDescent="0.2">
      <c r="A39" s="31"/>
      <c r="B39" s="176"/>
      <c r="C39" s="176"/>
      <c r="D39" s="22"/>
      <c r="E39" s="22" t="s">
        <v>25</v>
      </c>
      <c r="F39" s="35" t="str">
        <f>Rúbrica!B32</f>
        <v>Dominio del Contenido y defensa de argumentos.</v>
      </c>
      <c r="G39" s="24">
        <v>0.14000000000000001</v>
      </c>
      <c r="H39" s="148"/>
      <c r="I39" s="31"/>
      <c r="J39" s="25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</row>
    <row r="40" spans="1:23" ht="21.75" customHeight="1" x14ac:dyDescent="0.2">
      <c r="A40" s="31"/>
      <c r="B40" s="178"/>
      <c r="C40" s="176"/>
      <c r="D40" s="22"/>
      <c r="E40" s="22" t="s">
        <v>25</v>
      </c>
      <c r="F40" s="35" t="str">
        <f>Rúbrica!B33</f>
        <v xml:space="preserve">Conclusiones y cierre de la  presentación </v>
      </c>
      <c r="G40" s="24">
        <v>0.06</v>
      </c>
      <c r="H40" s="148"/>
      <c r="I40" s="31"/>
      <c r="J40" s="25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</row>
    <row r="41" spans="1:23" ht="60" x14ac:dyDescent="0.2">
      <c r="B41" s="36" t="s">
        <v>26</v>
      </c>
      <c r="C41" s="37">
        <f>SUMPRODUCT(G18:G40,H18:H40)</f>
        <v>0</v>
      </c>
      <c r="D41" s="179"/>
      <c r="E41" s="180"/>
      <c r="F41" s="181"/>
      <c r="G41" s="38">
        <f>SUM(G18:G40)</f>
        <v>1</v>
      </c>
      <c r="J41" s="25"/>
    </row>
    <row r="42" spans="1:23" ht="13.5" customHeight="1" x14ac:dyDescent="0.2"/>
    <row r="43" spans="1:23" ht="13.5" customHeight="1" x14ac:dyDescent="0.2"/>
    <row r="44" spans="1:23" ht="13.5" customHeight="1" x14ac:dyDescent="0.2"/>
    <row r="45" spans="1:23" ht="13.5" customHeight="1" x14ac:dyDescent="0.2"/>
    <row r="46" spans="1:23" ht="13.5" customHeight="1" x14ac:dyDescent="0.2"/>
    <row r="47" spans="1:23" ht="13.5" customHeight="1" x14ac:dyDescent="0.2"/>
    <row r="48" spans="1:23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0">
    <mergeCell ref="G16:G17"/>
    <mergeCell ref="H16:H17"/>
    <mergeCell ref="B2:C6"/>
    <mergeCell ref="D2:H6"/>
    <mergeCell ref="B15:C15"/>
    <mergeCell ref="B16:B17"/>
    <mergeCell ref="C16:C17"/>
    <mergeCell ref="D16:E16"/>
    <mergeCell ref="F16:F17"/>
    <mergeCell ref="B27:B36"/>
    <mergeCell ref="B37:B40"/>
    <mergeCell ref="D41:F41"/>
    <mergeCell ref="B18:B21"/>
    <mergeCell ref="C18:C21"/>
    <mergeCell ref="B22:B23"/>
    <mergeCell ref="C22:C23"/>
    <mergeCell ref="B24:B26"/>
    <mergeCell ref="C24:C26"/>
    <mergeCell ref="C27:C36"/>
    <mergeCell ref="C37:C40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00"/>
  <sheetViews>
    <sheetView topLeftCell="A4" workbookViewId="0">
      <selection activeCell="C3" sqref="C3:F6"/>
    </sheetView>
  </sheetViews>
  <sheetFormatPr baseColWidth="10" defaultColWidth="14.42578125" defaultRowHeight="15" customHeight="1" x14ac:dyDescent="0.2"/>
  <cols>
    <col min="1" max="1" width="10.85546875" customWidth="1"/>
    <col min="2" max="2" width="57.7109375" customWidth="1"/>
    <col min="3" max="6" width="40.85546875" customWidth="1"/>
    <col min="7" max="8" width="15" customWidth="1"/>
    <col min="9" max="9" width="10.85546875" customWidth="1"/>
  </cols>
  <sheetData>
    <row r="1" spans="1:8" ht="12.75" customHeight="1" x14ac:dyDescent="0.2">
      <c r="B1" s="39"/>
    </row>
    <row r="2" spans="1:8" ht="12.75" customHeight="1" x14ac:dyDescent="0.2">
      <c r="B2" s="39"/>
    </row>
    <row r="3" spans="1:8" ht="12.75" customHeight="1" x14ac:dyDescent="0.2">
      <c r="B3" s="198"/>
      <c r="C3" s="199" t="s">
        <v>327</v>
      </c>
      <c r="D3" s="164"/>
      <c r="E3" s="164"/>
      <c r="F3" s="170"/>
    </row>
    <row r="4" spans="1:8" ht="12.75" customHeight="1" x14ac:dyDescent="0.2">
      <c r="B4" s="183"/>
      <c r="C4" s="166"/>
      <c r="D4" s="166"/>
      <c r="E4" s="166"/>
      <c r="F4" s="171"/>
    </row>
    <row r="5" spans="1:8" ht="12.75" customHeight="1" x14ac:dyDescent="0.2">
      <c r="B5" s="183"/>
      <c r="C5" s="166"/>
      <c r="D5" s="166"/>
      <c r="E5" s="166"/>
      <c r="F5" s="171"/>
    </row>
    <row r="6" spans="1:8" ht="12.75" customHeight="1" x14ac:dyDescent="0.2">
      <c r="B6" s="184"/>
      <c r="C6" s="168"/>
      <c r="D6" s="168"/>
      <c r="E6" s="168"/>
      <c r="F6" s="172"/>
    </row>
    <row r="7" spans="1:8" ht="12.75" customHeight="1" x14ac:dyDescent="0.2">
      <c r="B7" s="39"/>
    </row>
    <row r="8" spans="1:8" ht="12.75" customHeight="1" x14ac:dyDescent="0.2">
      <c r="B8" s="39"/>
    </row>
    <row r="9" spans="1:8" ht="48" customHeight="1" x14ac:dyDescent="0.2">
      <c r="A9" s="40"/>
      <c r="B9" s="41" t="s">
        <v>6</v>
      </c>
      <c r="C9" s="42" t="s">
        <v>8</v>
      </c>
      <c r="D9" s="42" t="s">
        <v>10</v>
      </c>
      <c r="E9" s="42" t="s">
        <v>12</v>
      </c>
      <c r="F9" s="42" t="s">
        <v>14</v>
      </c>
      <c r="G9" s="42" t="s">
        <v>27</v>
      </c>
      <c r="H9" s="42" t="s">
        <v>28</v>
      </c>
    </row>
    <row r="10" spans="1:8" ht="45" customHeight="1" x14ac:dyDescent="0.2">
      <c r="A10" s="40"/>
      <c r="B10" s="43" t="s">
        <v>7</v>
      </c>
      <c r="C10" s="44" t="s">
        <v>29</v>
      </c>
      <c r="D10" s="44" t="s">
        <v>11</v>
      </c>
      <c r="E10" s="44" t="s">
        <v>30</v>
      </c>
      <c r="F10" s="44" t="s">
        <v>15</v>
      </c>
      <c r="G10" s="44"/>
      <c r="H10" s="44" t="s">
        <v>31</v>
      </c>
    </row>
    <row r="11" spans="1:8" ht="75" customHeight="1" x14ac:dyDescent="0.2">
      <c r="A11" s="195" t="s">
        <v>32</v>
      </c>
      <c r="B11" s="45" t="s">
        <v>33</v>
      </c>
      <c r="C11" s="46" t="s">
        <v>34</v>
      </c>
      <c r="D11" s="46" t="s">
        <v>35</v>
      </c>
      <c r="E11" s="46" t="s">
        <v>36</v>
      </c>
      <c r="F11" s="46" t="s">
        <v>37</v>
      </c>
      <c r="G11" s="47">
        <f t="shared" ref="G11:G16" si="0">IF(H11&gt;=4.5,4,IF(H11&gt;=3.8,3,(IF(H11&gt;=3,2,1))))</f>
        <v>1</v>
      </c>
      <c r="H11" s="48">
        <f>EVALUACION!H18</f>
        <v>0</v>
      </c>
    </row>
    <row r="12" spans="1:8" ht="75" customHeight="1" x14ac:dyDescent="0.2">
      <c r="A12" s="196"/>
      <c r="B12" s="49" t="s">
        <v>38</v>
      </c>
      <c r="C12" s="46" t="s">
        <v>39</v>
      </c>
      <c r="D12" s="46" t="s">
        <v>40</v>
      </c>
      <c r="E12" s="46" t="s">
        <v>41</v>
      </c>
      <c r="F12" s="46" t="s">
        <v>42</v>
      </c>
      <c r="G12" s="47">
        <f t="shared" si="0"/>
        <v>1</v>
      </c>
      <c r="H12" s="48">
        <f>EVALUACION!H19</f>
        <v>0</v>
      </c>
    </row>
    <row r="13" spans="1:8" ht="75" customHeight="1" x14ac:dyDescent="0.2">
      <c r="A13" s="196"/>
      <c r="B13" s="49" t="s">
        <v>43</v>
      </c>
      <c r="C13" s="46" t="s">
        <v>44</v>
      </c>
      <c r="D13" s="46" t="s">
        <v>45</v>
      </c>
      <c r="E13" s="46" t="s">
        <v>46</v>
      </c>
      <c r="F13" s="46" t="s">
        <v>47</v>
      </c>
      <c r="G13" s="47">
        <f t="shared" si="0"/>
        <v>1</v>
      </c>
      <c r="H13" s="48">
        <f>EVALUACION!H20</f>
        <v>0</v>
      </c>
    </row>
    <row r="14" spans="1:8" ht="75" customHeight="1" x14ac:dyDescent="0.2">
      <c r="A14" s="197"/>
      <c r="B14" s="49" t="s">
        <v>48</v>
      </c>
      <c r="C14" s="46" t="s">
        <v>49</v>
      </c>
      <c r="D14" s="46" t="s">
        <v>50</v>
      </c>
      <c r="E14" s="46" t="s">
        <v>51</v>
      </c>
      <c r="F14" s="46" t="s">
        <v>52</v>
      </c>
      <c r="G14" s="47">
        <f t="shared" si="0"/>
        <v>1</v>
      </c>
      <c r="H14" s="48">
        <f>EVALUACION!H21</f>
        <v>0</v>
      </c>
    </row>
    <row r="15" spans="1:8" ht="75" customHeight="1" x14ac:dyDescent="0.2">
      <c r="A15" s="195" t="s">
        <v>53</v>
      </c>
      <c r="B15" s="49" t="s">
        <v>54</v>
      </c>
      <c r="C15" s="46" t="s">
        <v>55</v>
      </c>
      <c r="D15" s="46" t="s">
        <v>56</v>
      </c>
      <c r="E15" s="46" t="s">
        <v>57</v>
      </c>
      <c r="F15" s="46" t="s">
        <v>58</v>
      </c>
      <c r="G15" s="47">
        <f t="shared" si="0"/>
        <v>1</v>
      </c>
      <c r="H15" s="48">
        <f>EVALUACION!H22</f>
        <v>0</v>
      </c>
    </row>
    <row r="16" spans="1:8" ht="177" customHeight="1" x14ac:dyDescent="0.2">
      <c r="A16" s="197"/>
      <c r="B16" s="49" t="s">
        <v>59</v>
      </c>
      <c r="C16" s="46" t="s">
        <v>60</v>
      </c>
      <c r="D16" s="46" t="s">
        <v>61</v>
      </c>
      <c r="E16" s="46" t="s">
        <v>62</v>
      </c>
      <c r="F16" s="46" t="s">
        <v>63</v>
      </c>
      <c r="G16" s="47">
        <f t="shared" si="0"/>
        <v>1</v>
      </c>
      <c r="H16" s="48">
        <f>EVALUACION!H23</f>
        <v>0</v>
      </c>
    </row>
    <row r="17" spans="1:8" ht="90" customHeight="1" x14ac:dyDescent="0.2">
      <c r="A17" s="195" t="s">
        <v>64</v>
      </c>
      <c r="B17" s="17" t="s">
        <v>65</v>
      </c>
      <c r="C17" s="46" t="s">
        <v>66</v>
      </c>
      <c r="D17" s="46" t="s">
        <v>67</v>
      </c>
      <c r="E17" s="46" t="s">
        <v>68</v>
      </c>
      <c r="F17" s="46" t="s">
        <v>69</v>
      </c>
      <c r="G17" s="50">
        <f t="shared" ref="G17:G33" si="1">IF(H17&gt;=4.5,4,IF(H17&gt;=3.8,3,IF(H17&gt;=3,2,1)))</f>
        <v>1</v>
      </c>
      <c r="H17" s="48">
        <f>EVALUACION!H24</f>
        <v>0</v>
      </c>
    </row>
    <row r="18" spans="1:8" ht="75" customHeight="1" x14ac:dyDescent="0.2">
      <c r="A18" s="196"/>
      <c r="B18" s="17" t="s">
        <v>70</v>
      </c>
      <c r="C18" s="46" t="s">
        <v>71</v>
      </c>
      <c r="D18" s="46" t="s">
        <v>72</v>
      </c>
      <c r="E18" s="46" t="s">
        <v>73</v>
      </c>
      <c r="F18" s="46" t="s">
        <v>74</v>
      </c>
      <c r="G18" s="50">
        <f t="shared" si="1"/>
        <v>1</v>
      </c>
      <c r="H18" s="48">
        <f>EVALUACION!H25</f>
        <v>0</v>
      </c>
    </row>
    <row r="19" spans="1:8" ht="90" customHeight="1" x14ac:dyDescent="0.2">
      <c r="A19" s="197"/>
      <c r="B19" s="17" t="s">
        <v>75</v>
      </c>
      <c r="C19" s="51" t="s">
        <v>76</v>
      </c>
      <c r="D19" s="51" t="s">
        <v>77</v>
      </c>
      <c r="E19" s="51" t="s">
        <v>78</v>
      </c>
      <c r="F19" s="52" t="s">
        <v>79</v>
      </c>
      <c r="G19" s="50">
        <f t="shared" si="1"/>
        <v>1</v>
      </c>
      <c r="H19" s="48">
        <f>EVALUACION!H26</f>
        <v>0</v>
      </c>
    </row>
    <row r="20" spans="1:8" ht="90" customHeight="1" x14ac:dyDescent="0.2">
      <c r="A20" s="195" t="s">
        <v>80</v>
      </c>
      <c r="B20" s="17" t="s">
        <v>81</v>
      </c>
      <c r="C20" s="51" t="s">
        <v>82</v>
      </c>
      <c r="D20" s="51" t="s">
        <v>83</v>
      </c>
      <c r="E20" s="51" t="s">
        <v>84</v>
      </c>
      <c r="F20" s="52" t="s">
        <v>85</v>
      </c>
      <c r="G20" s="50">
        <f t="shared" si="1"/>
        <v>1</v>
      </c>
      <c r="H20" s="48">
        <f>EVALUACION!H27</f>
        <v>0</v>
      </c>
    </row>
    <row r="21" spans="1:8" ht="90" customHeight="1" x14ac:dyDescent="0.2">
      <c r="A21" s="196"/>
      <c r="B21" s="17" t="s">
        <v>86</v>
      </c>
      <c r="C21" s="51" t="s">
        <v>87</v>
      </c>
      <c r="D21" s="51" t="s">
        <v>88</v>
      </c>
      <c r="E21" s="51" t="s">
        <v>89</v>
      </c>
      <c r="F21" s="52" t="s">
        <v>90</v>
      </c>
      <c r="G21" s="50">
        <f t="shared" si="1"/>
        <v>1</v>
      </c>
      <c r="H21" s="48">
        <f>EVALUACION!H28</f>
        <v>0</v>
      </c>
    </row>
    <row r="22" spans="1:8" ht="69.75" x14ac:dyDescent="0.2">
      <c r="A22" s="196"/>
      <c r="B22" s="17" t="s">
        <v>91</v>
      </c>
      <c r="C22" s="51" t="s">
        <v>92</v>
      </c>
      <c r="D22" s="51" t="s">
        <v>93</v>
      </c>
      <c r="E22" s="51" t="s">
        <v>94</v>
      </c>
      <c r="F22" s="52" t="s">
        <v>95</v>
      </c>
      <c r="G22" s="50">
        <f t="shared" si="1"/>
        <v>1</v>
      </c>
      <c r="H22" s="48">
        <f>EVALUACION!H29</f>
        <v>0</v>
      </c>
    </row>
    <row r="23" spans="1:8" ht="90" customHeight="1" x14ac:dyDescent="0.2">
      <c r="A23" s="196"/>
      <c r="B23" s="17" t="s">
        <v>96</v>
      </c>
      <c r="C23" s="51" t="s">
        <v>97</v>
      </c>
      <c r="D23" s="51" t="s">
        <v>98</v>
      </c>
      <c r="E23" s="51" t="s">
        <v>99</v>
      </c>
      <c r="F23" s="52" t="s">
        <v>100</v>
      </c>
      <c r="G23" s="50">
        <f t="shared" si="1"/>
        <v>1</v>
      </c>
      <c r="H23" s="48">
        <f>EVALUACION!H30</f>
        <v>0</v>
      </c>
    </row>
    <row r="24" spans="1:8" ht="90" customHeight="1" x14ac:dyDescent="0.2">
      <c r="A24" s="196"/>
      <c r="B24" s="17" t="s">
        <v>101</v>
      </c>
      <c r="C24" s="51" t="s">
        <v>102</v>
      </c>
      <c r="D24" s="51" t="s">
        <v>103</v>
      </c>
      <c r="E24" s="51" t="s">
        <v>104</v>
      </c>
      <c r="F24" s="52" t="s">
        <v>105</v>
      </c>
      <c r="G24" s="50">
        <f t="shared" si="1"/>
        <v>1</v>
      </c>
      <c r="H24" s="48">
        <f>EVALUACION!H31</f>
        <v>0</v>
      </c>
    </row>
    <row r="25" spans="1:8" ht="76.5" x14ac:dyDescent="0.2">
      <c r="A25" s="196"/>
      <c r="B25" s="17" t="s">
        <v>106</v>
      </c>
      <c r="C25" s="53" t="s">
        <v>107</v>
      </c>
      <c r="D25" s="53" t="s">
        <v>108</v>
      </c>
      <c r="E25" s="53" t="s">
        <v>109</v>
      </c>
      <c r="F25" s="53" t="s">
        <v>110</v>
      </c>
      <c r="G25" s="50">
        <f t="shared" si="1"/>
        <v>1</v>
      </c>
      <c r="H25" s="48">
        <f>EVALUACION!H32</f>
        <v>0</v>
      </c>
    </row>
    <row r="26" spans="1:8" ht="51" x14ac:dyDescent="0.2">
      <c r="A26" s="196"/>
      <c r="B26" s="17" t="s">
        <v>111</v>
      </c>
      <c r="C26" s="53" t="s">
        <v>112</v>
      </c>
      <c r="D26" s="53" t="s">
        <v>113</v>
      </c>
      <c r="E26" s="53" t="s">
        <v>114</v>
      </c>
      <c r="F26" s="53" t="s">
        <v>115</v>
      </c>
      <c r="G26" s="50">
        <f t="shared" si="1"/>
        <v>1</v>
      </c>
      <c r="H26" s="48">
        <f>EVALUACION!H33</f>
        <v>0</v>
      </c>
    </row>
    <row r="27" spans="1:8" ht="51" x14ac:dyDescent="0.2">
      <c r="A27" s="196"/>
      <c r="B27" s="17" t="s">
        <v>116</v>
      </c>
      <c r="C27" s="46" t="s">
        <v>117</v>
      </c>
      <c r="D27" s="46" t="s">
        <v>118</v>
      </c>
      <c r="E27" s="46" t="s">
        <v>119</v>
      </c>
      <c r="F27" s="46" t="s">
        <v>120</v>
      </c>
      <c r="G27" s="50">
        <f t="shared" si="1"/>
        <v>1</v>
      </c>
      <c r="H27" s="48">
        <f>EVALUACION!H34</f>
        <v>0</v>
      </c>
    </row>
    <row r="28" spans="1:8" ht="93" x14ac:dyDescent="0.2">
      <c r="A28" s="196"/>
      <c r="B28" s="17" t="s">
        <v>121</v>
      </c>
      <c r="C28" s="46" t="s">
        <v>122</v>
      </c>
      <c r="D28" s="46" t="s">
        <v>123</v>
      </c>
      <c r="E28" s="46" t="s">
        <v>124</v>
      </c>
      <c r="F28" s="46" t="s">
        <v>125</v>
      </c>
      <c r="G28" s="50">
        <f t="shared" si="1"/>
        <v>1</v>
      </c>
      <c r="H28" s="48">
        <f>EVALUACION!H35</f>
        <v>0</v>
      </c>
    </row>
    <row r="29" spans="1:8" ht="90" customHeight="1" x14ac:dyDescent="0.2">
      <c r="A29" s="197"/>
      <c r="B29" s="17" t="s">
        <v>126</v>
      </c>
      <c r="C29" s="46" t="s">
        <v>127</v>
      </c>
      <c r="D29" s="46" t="s">
        <v>128</v>
      </c>
      <c r="E29" s="46" t="s">
        <v>129</v>
      </c>
      <c r="F29" s="46" t="s">
        <v>130</v>
      </c>
      <c r="G29" s="50">
        <f t="shared" si="1"/>
        <v>1</v>
      </c>
      <c r="H29" s="48">
        <f>EVALUACION!H36</f>
        <v>0</v>
      </c>
    </row>
    <row r="30" spans="1:8" ht="39" customHeight="1" x14ac:dyDescent="0.2">
      <c r="A30" s="195" t="s">
        <v>131</v>
      </c>
      <c r="B30" s="54" t="s">
        <v>132</v>
      </c>
      <c r="C30" s="55" t="s">
        <v>133</v>
      </c>
      <c r="D30" s="55" t="s">
        <v>134</v>
      </c>
      <c r="E30" s="55" t="s">
        <v>135</v>
      </c>
      <c r="F30" s="55" t="s">
        <v>136</v>
      </c>
      <c r="G30" s="56">
        <f t="shared" si="1"/>
        <v>1</v>
      </c>
      <c r="H30" s="48">
        <f>EVALUACION!H37</f>
        <v>0</v>
      </c>
    </row>
    <row r="31" spans="1:8" ht="78" customHeight="1" x14ac:dyDescent="0.2">
      <c r="A31" s="196"/>
      <c r="B31" s="54" t="s">
        <v>137</v>
      </c>
      <c r="C31" s="55" t="s">
        <v>138</v>
      </c>
      <c r="D31" s="55" t="s">
        <v>139</v>
      </c>
      <c r="E31" s="55" t="s">
        <v>140</v>
      </c>
      <c r="F31" s="55" t="s">
        <v>141</v>
      </c>
      <c r="G31" s="56">
        <f t="shared" si="1"/>
        <v>1</v>
      </c>
      <c r="H31" s="48">
        <f>EVALUACION!H38</f>
        <v>0</v>
      </c>
    </row>
    <row r="32" spans="1:8" ht="69.75" customHeight="1" x14ac:dyDescent="0.2">
      <c r="A32" s="196"/>
      <c r="B32" s="54" t="s">
        <v>142</v>
      </c>
      <c r="C32" s="55" t="s">
        <v>143</v>
      </c>
      <c r="D32" s="55" t="s">
        <v>144</v>
      </c>
      <c r="E32" s="55" t="s">
        <v>145</v>
      </c>
      <c r="F32" s="55" t="s">
        <v>146</v>
      </c>
      <c r="G32" s="56">
        <f t="shared" si="1"/>
        <v>1</v>
      </c>
      <c r="H32" s="48">
        <f>EVALUACION!H39</f>
        <v>0</v>
      </c>
    </row>
    <row r="33" spans="1:9" ht="46.5" x14ac:dyDescent="0.2">
      <c r="A33" s="197"/>
      <c r="B33" s="54" t="s">
        <v>147</v>
      </c>
      <c r="C33" s="55" t="s">
        <v>148</v>
      </c>
      <c r="D33" s="55" t="s">
        <v>149</v>
      </c>
      <c r="E33" s="55" t="s">
        <v>150</v>
      </c>
      <c r="F33" s="55" t="s">
        <v>151</v>
      </c>
      <c r="G33" s="56">
        <f t="shared" si="1"/>
        <v>1</v>
      </c>
      <c r="H33" s="48">
        <f>EVALUACION!H40</f>
        <v>0</v>
      </c>
    </row>
    <row r="34" spans="1:9" ht="12.75" customHeight="1" x14ac:dyDescent="0.2">
      <c r="B34" s="57"/>
      <c r="C34" s="58"/>
      <c r="D34" s="59"/>
      <c r="E34" s="59"/>
      <c r="F34" s="59"/>
      <c r="G34" s="59"/>
      <c r="H34" s="60"/>
      <c r="I34" s="61"/>
    </row>
    <row r="35" spans="1:9" ht="12.75" customHeight="1" x14ac:dyDescent="0.2">
      <c r="B35" s="57"/>
      <c r="C35" s="58"/>
      <c r="D35" s="59"/>
      <c r="E35" s="59"/>
      <c r="F35" s="59"/>
      <c r="G35" s="59"/>
      <c r="H35" s="60"/>
      <c r="I35" s="61"/>
    </row>
    <row r="36" spans="1:9" ht="12.75" customHeight="1" x14ac:dyDescent="0.2">
      <c r="B36" s="57"/>
      <c r="C36" s="58"/>
      <c r="D36" s="59"/>
      <c r="E36" s="59"/>
      <c r="F36" s="59"/>
      <c r="G36" s="59"/>
      <c r="H36" s="60"/>
      <c r="I36" s="61"/>
    </row>
    <row r="37" spans="1:9" ht="12.75" customHeight="1" x14ac:dyDescent="0.2">
      <c r="B37" s="57"/>
      <c r="C37" s="58"/>
      <c r="D37" s="59"/>
      <c r="E37" s="59"/>
      <c r="F37" s="59"/>
      <c r="G37" s="59"/>
      <c r="H37" s="60"/>
      <c r="I37" s="61"/>
    </row>
    <row r="38" spans="1:9" ht="12.75" customHeight="1" x14ac:dyDescent="0.2">
      <c r="B38" s="57"/>
      <c r="C38" s="58"/>
      <c r="D38" s="59"/>
      <c r="E38" s="59"/>
      <c r="F38" s="59"/>
      <c r="G38" s="59"/>
      <c r="H38" s="60"/>
      <c r="I38" s="61"/>
    </row>
    <row r="39" spans="1:9" ht="12.75" customHeight="1" x14ac:dyDescent="0.2">
      <c r="B39" s="57"/>
      <c r="C39" s="58"/>
      <c r="D39" s="59"/>
      <c r="E39" s="59"/>
      <c r="F39" s="59"/>
      <c r="G39" s="59"/>
      <c r="H39" s="60"/>
      <c r="I39" s="61"/>
    </row>
    <row r="40" spans="1:9" ht="12.75" customHeight="1" x14ac:dyDescent="0.2">
      <c r="B40" s="57"/>
      <c r="C40" s="58"/>
      <c r="D40" s="59"/>
      <c r="E40" s="59"/>
      <c r="F40" s="59"/>
      <c r="G40" s="59"/>
      <c r="H40" s="60"/>
      <c r="I40" s="61"/>
    </row>
    <row r="41" spans="1:9" ht="12.75" customHeight="1" x14ac:dyDescent="0.2">
      <c r="B41" s="57"/>
      <c r="C41" s="58"/>
      <c r="D41" s="59"/>
      <c r="E41" s="59"/>
      <c r="F41" s="59"/>
      <c r="G41" s="59"/>
      <c r="H41" s="60"/>
      <c r="I41" s="61"/>
    </row>
    <row r="42" spans="1:9" ht="12.75" customHeight="1" x14ac:dyDescent="0.2">
      <c r="B42" s="39"/>
    </row>
    <row r="43" spans="1:9" ht="12.75" customHeight="1" x14ac:dyDescent="0.2">
      <c r="B43" s="39"/>
    </row>
    <row r="44" spans="1:9" ht="12.75" customHeight="1" x14ac:dyDescent="0.2">
      <c r="B44" s="39"/>
    </row>
    <row r="45" spans="1:9" ht="12.75" customHeight="1" x14ac:dyDescent="0.2">
      <c r="B45" s="39"/>
    </row>
    <row r="46" spans="1:9" ht="12.75" customHeight="1" x14ac:dyDescent="0.2">
      <c r="B46" s="39"/>
    </row>
    <row r="47" spans="1:9" ht="12.75" customHeight="1" x14ac:dyDescent="0.2">
      <c r="B47" s="39"/>
    </row>
    <row r="48" spans="1:9" ht="12.75" customHeight="1" x14ac:dyDescent="0.2">
      <c r="B48" s="39"/>
    </row>
    <row r="49" spans="2:2" ht="12.75" customHeight="1" x14ac:dyDescent="0.2">
      <c r="B49" s="39"/>
    </row>
    <row r="50" spans="2:2" ht="12.75" customHeight="1" x14ac:dyDescent="0.2">
      <c r="B50" s="39"/>
    </row>
    <row r="51" spans="2:2" ht="12.75" customHeight="1" x14ac:dyDescent="0.2">
      <c r="B51" s="39"/>
    </row>
    <row r="52" spans="2:2" ht="12.75" customHeight="1" x14ac:dyDescent="0.2">
      <c r="B52" s="39"/>
    </row>
    <row r="53" spans="2:2" ht="12.75" customHeight="1" x14ac:dyDescent="0.2">
      <c r="B53" s="39"/>
    </row>
    <row r="54" spans="2:2" ht="12.75" customHeight="1" x14ac:dyDescent="0.2">
      <c r="B54" s="39"/>
    </row>
    <row r="55" spans="2:2" ht="12.75" customHeight="1" x14ac:dyDescent="0.2">
      <c r="B55" s="39"/>
    </row>
    <row r="56" spans="2:2" ht="12.75" customHeight="1" x14ac:dyDescent="0.2">
      <c r="B56" s="39"/>
    </row>
    <row r="57" spans="2:2" ht="12.75" customHeight="1" x14ac:dyDescent="0.2">
      <c r="B57" s="39"/>
    </row>
    <row r="58" spans="2:2" ht="12.75" customHeight="1" x14ac:dyDescent="0.2">
      <c r="B58" s="39"/>
    </row>
    <row r="59" spans="2:2" ht="12.75" customHeight="1" x14ac:dyDescent="0.2">
      <c r="B59" s="39"/>
    </row>
    <row r="60" spans="2:2" ht="12.75" customHeight="1" x14ac:dyDescent="0.2">
      <c r="B60" s="39"/>
    </row>
    <row r="61" spans="2:2" ht="12.75" customHeight="1" x14ac:dyDescent="0.2">
      <c r="B61" s="39"/>
    </row>
    <row r="62" spans="2:2" ht="12.75" customHeight="1" x14ac:dyDescent="0.2">
      <c r="B62" s="39"/>
    </row>
    <row r="63" spans="2:2" ht="12.75" customHeight="1" x14ac:dyDescent="0.2">
      <c r="B63" s="39"/>
    </row>
    <row r="64" spans="2:2" ht="12.75" customHeight="1" x14ac:dyDescent="0.2">
      <c r="B64" s="39"/>
    </row>
    <row r="65" spans="2:2" ht="12.75" customHeight="1" x14ac:dyDescent="0.2">
      <c r="B65" s="39"/>
    </row>
    <row r="66" spans="2:2" ht="12.75" customHeight="1" x14ac:dyDescent="0.2">
      <c r="B66" s="39"/>
    </row>
    <row r="67" spans="2:2" ht="12.75" customHeight="1" x14ac:dyDescent="0.2">
      <c r="B67" s="39"/>
    </row>
    <row r="68" spans="2:2" ht="12.75" customHeight="1" x14ac:dyDescent="0.2">
      <c r="B68" s="39"/>
    </row>
    <row r="69" spans="2:2" ht="12.75" customHeight="1" x14ac:dyDescent="0.2">
      <c r="B69" s="39"/>
    </row>
    <row r="70" spans="2:2" ht="12.75" customHeight="1" x14ac:dyDescent="0.2">
      <c r="B70" s="39"/>
    </row>
    <row r="71" spans="2:2" ht="12.75" customHeight="1" x14ac:dyDescent="0.2">
      <c r="B71" s="39"/>
    </row>
    <row r="72" spans="2:2" ht="12.75" customHeight="1" x14ac:dyDescent="0.2">
      <c r="B72" s="39"/>
    </row>
    <row r="73" spans="2:2" ht="12.75" customHeight="1" x14ac:dyDescent="0.2">
      <c r="B73" s="39"/>
    </row>
    <row r="74" spans="2:2" ht="12.75" customHeight="1" x14ac:dyDescent="0.2">
      <c r="B74" s="39"/>
    </row>
    <row r="75" spans="2:2" ht="12.75" customHeight="1" x14ac:dyDescent="0.2">
      <c r="B75" s="39"/>
    </row>
    <row r="76" spans="2:2" ht="12.75" customHeight="1" x14ac:dyDescent="0.2">
      <c r="B76" s="39"/>
    </row>
    <row r="77" spans="2:2" ht="12.75" customHeight="1" x14ac:dyDescent="0.2">
      <c r="B77" s="39"/>
    </row>
    <row r="78" spans="2:2" ht="12.75" customHeight="1" x14ac:dyDescent="0.2">
      <c r="B78" s="39"/>
    </row>
    <row r="79" spans="2:2" ht="12.75" customHeight="1" x14ac:dyDescent="0.2">
      <c r="B79" s="39"/>
    </row>
    <row r="80" spans="2:2" ht="12.75" customHeight="1" x14ac:dyDescent="0.2">
      <c r="B80" s="39"/>
    </row>
    <row r="81" spans="2:2" ht="12.75" customHeight="1" x14ac:dyDescent="0.2">
      <c r="B81" s="39"/>
    </row>
    <row r="82" spans="2:2" ht="12.75" customHeight="1" x14ac:dyDescent="0.2">
      <c r="B82" s="39"/>
    </row>
    <row r="83" spans="2:2" ht="12.75" customHeight="1" x14ac:dyDescent="0.2">
      <c r="B83" s="39"/>
    </row>
    <row r="84" spans="2:2" ht="12.75" customHeight="1" x14ac:dyDescent="0.2">
      <c r="B84" s="39"/>
    </row>
    <row r="85" spans="2:2" ht="12.75" customHeight="1" x14ac:dyDescent="0.2">
      <c r="B85" s="39"/>
    </row>
    <row r="86" spans="2:2" ht="12.75" customHeight="1" x14ac:dyDescent="0.2">
      <c r="B86" s="39"/>
    </row>
    <row r="87" spans="2:2" ht="12.75" customHeight="1" x14ac:dyDescent="0.2">
      <c r="B87" s="39"/>
    </row>
    <row r="88" spans="2:2" ht="12.75" customHeight="1" x14ac:dyDescent="0.2">
      <c r="B88" s="39"/>
    </row>
    <row r="89" spans="2:2" ht="12.75" customHeight="1" x14ac:dyDescent="0.2">
      <c r="B89" s="39"/>
    </row>
    <row r="90" spans="2:2" ht="12.75" customHeight="1" x14ac:dyDescent="0.2">
      <c r="B90" s="39"/>
    </row>
    <row r="91" spans="2:2" ht="12.75" customHeight="1" x14ac:dyDescent="0.2">
      <c r="B91" s="39"/>
    </row>
    <row r="92" spans="2:2" ht="12.75" customHeight="1" x14ac:dyDescent="0.2">
      <c r="B92" s="39"/>
    </row>
    <row r="93" spans="2:2" ht="12.75" customHeight="1" x14ac:dyDescent="0.2">
      <c r="B93" s="39"/>
    </row>
    <row r="94" spans="2:2" ht="12.75" customHeight="1" x14ac:dyDescent="0.2">
      <c r="B94" s="39"/>
    </row>
    <row r="95" spans="2:2" ht="12.75" customHeight="1" x14ac:dyDescent="0.2">
      <c r="B95" s="39"/>
    </row>
    <row r="96" spans="2:2" ht="12.75" customHeight="1" x14ac:dyDescent="0.2">
      <c r="B96" s="39"/>
    </row>
    <row r="97" spans="2:2" ht="12.75" customHeight="1" x14ac:dyDescent="0.2">
      <c r="B97" s="39"/>
    </row>
    <row r="98" spans="2:2" ht="12.75" customHeight="1" x14ac:dyDescent="0.2">
      <c r="B98" s="39"/>
    </row>
    <row r="99" spans="2:2" ht="12.75" customHeight="1" x14ac:dyDescent="0.2">
      <c r="B99" s="39"/>
    </row>
    <row r="100" spans="2:2" ht="12.75" customHeight="1" x14ac:dyDescent="0.2">
      <c r="B100" s="39"/>
    </row>
    <row r="101" spans="2:2" ht="12.75" customHeight="1" x14ac:dyDescent="0.2">
      <c r="B101" s="39"/>
    </row>
    <row r="102" spans="2:2" ht="12.75" customHeight="1" x14ac:dyDescent="0.2">
      <c r="B102" s="39"/>
    </row>
    <row r="103" spans="2:2" ht="12.75" customHeight="1" x14ac:dyDescent="0.2">
      <c r="B103" s="39"/>
    </row>
    <row r="104" spans="2:2" ht="12.75" customHeight="1" x14ac:dyDescent="0.2">
      <c r="B104" s="39"/>
    </row>
    <row r="105" spans="2:2" ht="12.75" customHeight="1" x14ac:dyDescent="0.2">
      <c r="B105" s="39"/>
    </row>
    <row r="106" spans="2:2" ht="12.75" customHeight="1" x14ac:dyDescent="0.2">
      <c r="B106" s="39"/>
    </row>
    <row r="107" spans="2:2" ht="12.75" customHeight="1" x14ac:dyDescent="0.2">
      <c r="B107" s="39"/>
    </row>
    <row r="108" spans="2:2" ht="12.75" customHeight="1" x14ac:dyDescent="0.2">
      <c r="B108" s="39"/>
    </row>
    <row r="109" spans="2:2" ht="12.75" customHeight="1" x14ac:dyDescent="0.2">
      <c r="B109" s="39"/>
    </row>
    <row r="110" spans="2:2" ht="12.75" customHeight="1" x14ac:dyDescent="0.2">
      <c r="B110" s="39"/>
    </row>
    <row r="111" spans="2:2" ht="12.75" customHeight="1" x14ac:dyDescent="0.2">
      <c r="B111" s="39"/>
    </row>
    <row r="112" spans="2:2" ht="12.75" customHeight="1" x14ac:dyDescent="0.2">
      <c r="B112" s="39"/>
    </row>
    <row r="113" spans="2:2" ht="12.75" customHeight="1" x14ac:dyDescent="0.2">
      <c r="B113" s="39"/>
    </row>
    <row r="114" spans="2:2" ht="12.75" customHeight="1" x14ac:dyDescent="0.2">
      <c r="B114" s="39"/>
    </row>
    <row r="115" spans="2:2" ht="12.75" customHeight="1" x14ac:dyDescent="0.2">
      <c r="B115" s="39"/>
    </row>
    <row r="116" spans="2:2" ht="12.75" customHeight="1" x14ac:dyDescent="0.2">
      <c r="B116" s="39"/>
    </row>
    <row r="117" spans="2:2" ht="12.75" customHeight="1" x14ac:dyDescent="0.2">
      <c r="B117" s="39"/>
    </row>
    <row r="118" spans="2:2" ht="12.75" customHeight="1" x14ac:dyDescent="0.2">
      <c r="B118" s="39"/>
    </row>
    <row r="119" spans="2:2" ht="12.75" customHeight="1" x14ac:dyDescent="0.2">
      <c r="B119" s="39"/>
    </row>
    <row r="120" spans="2:2" ht="12.75" customHeight="1" x14ac:dyDescent="0.2">
      <c r="B120" s="39"/>
    </row>
    <row r="121" spans="2:2" ht="12.75" customHeight="1" x14ac:dyDescent="0.2">
      <c r="B121" s="39"/>
    </row>
    <row r="122" spans="2:2" ht="12.75" customHeight="1" x14ac:dyDescent="0.2">
      <c r="B122" s="39"/>
    </row>
    <row r="123" spans="2:2" ht="12.75" customHeight="1" x14ac:dyDescent="0.2">
      <c r="B123" s="39"/>
    </row>
    <row r="124" spans="2:2" ht="12.75" customHeight="1" x14ac:dyDescent="0.2">
      <c r="B124" s="39"/>
    </row>
    <row r="125" spans="2:2" ht="12.75" customHeight="1" x14ac:dyDescent="0.2">
      <c r="B125" s="39"/>
    </row>
    <row r="126" spans="2:2" ht="12.75" customHeight="1" x14ac:dyDescent="0.2">
      <c r="B126" s="39"/>
    </row>
    <row r="127" spans="2:2" ht="12.75" customHeight="1" x14ac:dyDescent="0.2">
      <c r="B127" s="39"/>
    </row>
    <row r="128" spans="2:2" ht="12.75" customHeight="1" x14ac:dyDescent="0.2">
      <c r="B128" s="39"/>
    </row>
    <row r="129" spans="2:2" ht="12.75" customHeight="1" x14ac:dyDescent="0.2">
      <c r="B129" s="39"/>
    </row>
    <row r="130" spans="2:2" ht="12.75" customHeight="1" x14ac:dyDescent="0.2">
      <c r="B130" s="39"/>
    </row>
    <row r="131" spans="2:2" ht="12.75" customHeight="1" x14ac:dyDescent="0.2">
      <c r="B131" s="39"/>
    </row>
    <row r="132" spans="2:2" ht="12.75" customHeight="1" x14ac:dyDescent="0.2">
      <c r="B132" s="39"/>
    </row>
    <row r="133" spans="2:2" ht="12.75" customHeight="1" x14ac:dyDescent="0.2">
      <c r="B133" s="39"/>
    </row>
    <row r="134" spans="2:2" ht="12.75" customHeight="1" x14ac:dyDescent="0.2">
      <c r="B134" s="39"/>
    </row>
    <row r="135" spans="2:2" ht="12.75" customHeight="1" x14ac:dyDescent="0.2">
      <c r="B135" s="39"/>
    </row>
    <row r="136" spans="2:2" ht="12.75" customHeight="1" x14ac:dyDescent="0.2">
      <c r="B136" s="39"/>
    </row>
    <row r="137" spans="2:2" ht="12.75" customHeight="1" x14ac:dyDescent="0.2">
      <c r="B137" s="39"/>
    </row>
    <row r="138" spans="2:2" ht="12.75" customHeight="1" x14ac:dyDescent="0.2">
      <c r="B138" s="39"/>
    </row>
    <row r="139" spans="2:2" ht="12.75" customHeight="1" x14ac:dyDescent="0.2">
      <c r="B139" s="39"/>
    </row>
    <row r="140" spans="2:2" ht="12.75" customHeight="1" x14ac:dyDescent="0.2">
      <c r="B140" s="39"/>
    </row>
    <row r="141" spans="2:2" ht="12.75" customHeight="1" x14ac:dyDescent="0.2">
      <c r="B141" s="39"/>
    </row>
    <row r="142" spans="2:2" ht="12.75" customHeight="1" x14ac:dyDescent="0.2">
      <c r="B142" s="39"/>
    </row>
    <row r="143" spans="2:2" ht="12.75" customHeight="1" x14ac:dyDescent="0.2">
      <c r="B143" s="39"/>
    </row>
    <row r="144" spans="2:2" ht="12.75" customHeight="1" x14ac:dyDescent="0.2">
      <c r="B144" s="39"/>
    </row>
    <row r="145" spans="2:2" ht="12.75" customHeight="1" x14ac:dyDescent="0.2">
      <c r="B145" s="39"/>
    </row>
    <row r="146" spans="2:2" ht="12.75" customHeight="1" x14ac:dyDescent="0.2">
      <c r="B146" s="39"/>
    </row>
    <row r="147" spans="2:2" ht="12.75" customHeight="1" x14ac:dyDescent="0.2">
      <c r="B147" s="39"/>
    </row>
    <row r="148" spans="2:2" ht="12.75" customHeight="1" x14ac:dyDescent="0.2">
      <c r="B148" s="39"/>
    </row>
    <row r="149" spans="2:2" ht="12.75" customHeight="1" x14ac:dyDescent="0.2">
      <c r="B149" s="39"/>
    </row>
    <row r="150" spans="2:2" ht="12.75" customHeight="1" x14ac:dyDescent="0.2">
      <c r="B150" s="39"/>
    </row>
    <row r="151" spans="2:2" ht="12.75" customHeight="1" x14ac:dyDescent="0.2">
      <c r="B151" s="39"/>
    </row>
    <row r="152" spans="2:2" ht="12.75" customHeight="1" x14ac:dyDescent="0.2">
      <c r="B152" s="39"/>
    </row>
    <row r="153" spans="2:2" ht="12.75" customHeight="1" x14ac:dyDescent="0.2">
      <c r="B153" s="39"/>
    </row>
    <row r="154" spans="2:2" ht="12.75" customHeight="1" x14ac:dyDescent="0.2">
      <c r="B154" s="39"/>
    </row>
    <row r="155" spans="2:2" ht="12.75" customHeight="1" x14ac:dyDescent="0.2">
      <c r="B155" s="39"/>
    </row>
    <row r="156" spans="2:2" ht="12.75" customHeight="1" x14ac:dyDescent="0.2">
      <c r="B156" s="39"/>
    </row>
    <row r="157" spans="2:2" ht="12.75" customHeight="1" x14ac:dyDescent="0.2">
      <c r="B157" s="39"/>
    </row>
    <row r="158" spans="2:2" ht="12.75" customHeight="1" x14ac:dyDescent="0.2">
      <c r="B158" s="39"/>
    </row>
    <row r="159" spans="2:2" ht="12.75" customHeight="1" x14ac:dyDescent="0.2">
      <c r="B159" s="39"/>
    </row>
    <row r="160" spans="2:2" ht="12.75" customHeight="1" x14ac:dyDescent="0.2">
      <c r="B160" s="39"/>
    </row>
    <row r="161" spans="2:2" ht="12.75" customHeight="1" x14ac:dyDescent="0.2">
      <c r="B161" s="39"/>
    </row>
    <row r="162" spans="2:2" ht="12.75" customHeight="1" x14ac:dyDescent="0.2">
      <c r="B162" s="39"/>
    </row>
    <row r="163" spans="2:2" ht="12.75" customHeight="1" x14ac:dyDescent="0.2">
      <c r="B163" s="39"/>
    </row>
    <row r="164" spans="2:2" ht="12.75" customHeight="1" x14ac:dyDescent="0.2">
      <c r="B164" s="39"/>
    </row>
    <row r="165" spans="2:2" ht="12.75" customHeight="1" x14ac:dyDescent="0.2">
      <c r="B165" s="39"/>
    </row>
    <row r="166" spans="2:2" ht="12.75" customHeight="1" x14ac:dyDescent="0.2">
      <c r="B166" s="39"/>
    </row>
    <row r="167" spans="2:2" ht="12.75" customHeight="1" x14ac:dyDescent="0.2">
      <c r="B167" s="39"/>
    </row>
    <row r="168" spans="2:2" ht="12.75" customHeight="1" x14ac:dyDescent="0.2">
      <c r="B168" s="39"/>
    </row>
    <row r="169" spans="2:2" ht="12.75" customHeight="1" x14ac:dyDescent="0.2">
      <c r="B169" s="39"/>
    </row>
    <row r="170" spans="2:2" ht="12.75" customHeight="1" x14ac:dyDescent="0.2">
      <c r="B170" s="39"/>
    </row>
    <row r="171" spans="2:2" ht="12.75" customHeight="1" x14ac:dyDescent="0.2">
      <c r="B171" s="39"/>
    </row>
    <row r="172" spans="2:2" ht="12.75" customHeight="1" x14ac:dyDescent="0.2">
      <c r="B172" s="39"/>
    </row>
    <row r="173" spans="2:2" ht="12.75" customHeight="1" x14ac:dyDescent="0.2">
      <c r="B173" s="39"/>
    </row>
    <row r="174" spans="2:2" ht="12.75" customHeight="1" x14ac:dyDescent="0.2">
      <c r="B174" s="39"/>
    </row>
    <row r="175" spans="2:2" ht="12.75" customHeight="1" x14ac:dyDescent="0.2">
      <c r="B175" s="39"/>
    </row>
    <row r="176" spans="2:2" ht="12.75" customHeight="1" x14ac:dyDescent="0.2">
      <c r="B176" s="39"/>
    </row>
    <row r="177" spans="2:2" ht="12.75" customHeight="1" x14ac:dyDescent="0.2">
      <c r="B177" s="39"/>
    </row>
    <row r="178" spans="2:2" ht="12.75" customHeight="1" x14ac:dyDescent="0.2">
      <c r="B178" s="39"/>
    </row>
    <row r="179" spans="2:2" ht="12.75" customHeight="1" x14ac:dyDescent="0.2">
      <c r="B179" s="39"/>
    </row>
    <row r="180" spans="2:2" ht="12.75" customHeight="1" x14ac:dyDescent="0.2">
      <c r="B180" s="39"/>
    </row>
    <row r="181" spans="2:2" ht="12.75" customHeight="1" x14ac:dyDescent="0.2">
      <c r="B181" s="39"/>
    </row>
    <row r="182" spans="2:2" ht="12.75" customHeight="1" x14ac:dyDescent="0.2">
      <c r="B182" s="39"/>
    </row>
    <row r="183" spans="2:2" ht="12.75" customHeight="1" x14ac:dyDescent="0.2">
      <c r="B183" s="39"/>
    </row>
    <row r="184" spans="2:2" ht="12.75" customHeight="1" x14ac:dyDescent="0.2">
      <c r="B184" s="39"/>
    </row>
    <row r="185" spans="2:2" ht="12.75" customHeight="1" x14ac:dyDescent="0.2">
      <c r="B185" s="39"/>
    </row>
    <row r="186" spans="2:2" ht="12.75" customHeight="1" x14ac:dyDescent="0.2">
      <c r="B186" s="39"/>
    </row>
    <row r="187" spans="2:2" ht="12.75" customHeight="1" x14ac:dyDescent="0.2">
      <c r="B187" s="39"/>
    </row>
    <row r="188" spans="2:2" ht="12.75" customHeight="1" x14ac:dyDescent="0.2">
      <c r="B188" s="39"/>
    </row>
    <row r="189" spans="2:2" ht="12.75" customHeight="1" x14ac:dyDescent="0.2">
      <c r="B189" s="39"/>
    </row>
    <row r="190" spans="2:2" ht="12.75" customHeight="1" x14ac:dyDescent="0.2">
      <c r="B190" s="39"/>
    </row>
    <row r="191" spans="2:2" ht="12.75" customHeight="1" x14ac:dyDescent="0.2">
      <c r="B191" s="39"/>
    </row>
    <row r="192" spans="2:2" ht="12.75" customHeight="1" x14ac:dyDescent="0.2">
      <c r="B192" s="39"/>
    </row>
    <row r="193" spans="2:2" ht="12.75" customHeight="1" x14ac:dyDescent="0.2">
      <c r="B193" s="39"/>
    </row>
    <row r="194" spans="2:2" ht="12.75" customHeight="1" x14ac:dyDescent="0.2">
      <c r="B194" s="39"/>
    </row>
    <row r="195" spans="2:2" ht="12.75" customHeight="1" x14ac:dyDescent="0.2">
      <c r="B195" s="39"/>
    </row>
    <row r="196" spans="2:2" ht="12.75" customHeight="1" x14ac:dyDescent="0.2">
      <c r="B196" s="39"/>
    </row>
    <row r="197" spans="2:2" ht="12.75" customHeight="1" x14ac:dyDescent="0.2">
      <c r="B197" s="39"/>
    </row>
    <row r="198" spans="2:2" ht="12.75" customHeight="1" x14ac:dyDescent="0.2">
      <c r="B198" s="39"/>
    </row>
    <row r="199" spans="2:2" ht="12.75" customHeight="1" x14ac:dyDescent="0.2">
      <c r="B199" s="39"/>
    </row>
    <row r="200" spans="2:2" ht="12.75" customHeight="1" x14ac:dyDescent="0.2">
      <c r="B200" s="39"/>
    </row>
    <row r="201" spans="2:2" ht="12.75" customHeight="1" x14ac:dyDescent="0.2">
      <c r="B201" s="39"/>
    </row>
    <row r="202" spans="2:2" ht="12.75" customHeight="1" x14ac:dyDescent="0.2">
      <c r="B202" s="39"/>
    </row>
    <row r="203" spans="2:2" ht="12.75" customHeight="1" x14ac:dyDescent="0.2">
      <c r="B203" s="39"/>
    </row>
    <row r="204" spans="2:2" ht="12.75" customHeight="1" x14ac:dyDescent="0.2">
      <c r="B204" s="39"/>
    </row>
    <row r="205" spans="2:2" ht="12.75" customHeight="1" x14ac:dyDescent="0.2">
      <c r="B205" s="39"/>
    </row>
    <row r="206" spans="2:2" ht="12.75" customHeight="1" x14ac:dyDescent="0.2">
      <c r="B206" s="39"/>
    </row>
    <row r="207" spans="2:2" ht="12.75" customHeight="1" x14ac:dyDescent="0.2">
      <c r="B207" s="39"/>
    </row>
    <row r="208" spans="2:2" ht="12.75" customHeight="1" x14ac:dyDescent="0.2">
      <c r="B208" s="39"/>
    </row>
    <row r="209" spans="2:2" ht="12.75" customHeight="1" x14ac:dyDescent="0.2">
      <c r="B209" s="39"/>
    </row>
    <row r="210" spans="2:2" ht="12.75" customHeight="1" x14ac:dyDescent="0.2">
      <c r="B210" s="39"/>
    </row>
    <row r="211" spans="2:2" ht="12.75" customHeight="1" x14ac:dyDescent="0.2">
      <c r="B211" s="39"/>
    </row>
    <row r="212" spans="2:2" ht="12.75" customHeight="1" x14ac:dyDescent="0.2">
      <c r="B212" s="39"/>
    </row>
    <row r="213" spans="2:2" ht="12.75" customHeight="1" x14ac:dyDescent="0.2">
      <c r="B213" s="39"/>
    </row>
    <row r="214" spans="2:2" ht="12.75" customHeight="1" x14ac:dyDescent="0.2">
      <c r="B214" s="39"/>
    </row>
    <row r="215" spans="2:2" ht="12.75" customHeight="1" x14ac:dyDescent="0.2">
      <c r="B215" s="39"/>
    </row>
    <row r="216" spans="2:2" ht="12.75" customHeight="1" x14ac:dyDescent="0.2">
      <c r="B216" s="39"/>
    </row>
    <row r="217" spans="2:2" ht="12.75" customHeight="1" x14ac:dyDescent="0.2">
      <c r="B217" s="39"/>
    </row>
    <row r="218" spans="2:2" ht="12.75" customHeight="1" x14ac:dyDescent="0.2">
      <c r="B218" s="39"/>
    </row>
    <row r="219" spans="2:2" ht="12.75" customHeight="1" x14ac:dyDescent="0.2">
      <c r="B219" s="39"/>
    </row>
    <row r="220" spans="2:2" ht="12.75" customHeight="1" x14ac:dyDescent="0.2">
      <c r="B220" s="39"/>
    </row>
    <row r="221" spans="2:2" ht="12.75" customHeight="1" x14ac:dyDescent="0.2">
      <c r="B221" s="39"/>
    </row>
    <row r="222" spans="2:2" ht="12.75" customHeight="1" x14ac:dyDescent="0.2">
      <c r="B222" s="39"/>
    </row>
    <row r="223" spans="2:2" ht="12.75" customHeight="1" x14ac:dyDescent="0.2">
      <c r="B223" s="39"/>
    </row>
    <row r="224" spans="2:2" ht="12.75" customHeight="1" x14ac:dyDescent="0.2">
      <c r="B224" s="39"/>
    </row>
    <row r="225" spans="2:2" ht="12.75" customHeight="1" x14ac:dyDescent="0.2">
      <c r="B225" s="39"/>
    </row>
    <row r="226" spans="2:2" ht="12.75" customHeight="1" x14ac:dyDescent="0.2">
      <c r="B226" s="39"/>
    </row>
    <row r="227" spans="2:2" ht="12.75" customHeight="1" x14ac:dyDescent="0.2">
      <c r="B227" s="39"/>
    </row>
    <row r="228" spans="2:2" ht="12.75" customHeight="1" x14ac:dyDescent="0.2">
      <c r="B228" s="39"/>
    </row>
    <row r="229" spans="2:2" ht="12.75" customHeight="1" x14ac:dyDescent="0.2">
      <c r="B229" s="39"/>
    </row>
    <row r="230" spans="2:2" ht="12.75" customHeight="1" x14ac:dyDescent="0.2">
      <c r="B230" s="39"/>
    </row>
    <row r="231" spans="2:2" ht="12.75" customHeight="1" x14ac:dyDescent="0.2">
      <c r="B231" s="39"/>
    </row>
    <row r="232" spans="2:2" ht="12.75" customHeight="1" x14ac:dyDescent="0.2">
      <c r="B232" s="39"/>
    </row>
    <row r="233" spans="2:2" ht="12.75" customHeight="1" x14ac:dyDescent="0.2">
      <c r="B233" s="39"/>
    </row>
    <row r="234" spans="2:2" ht="15.75" customHeight="1" x14ac:dyDescent="0.2"/>
    <row r="235" spans="2:2" ht="15.75" customHeight="1" x14ac:dyDescent="0.2"/>
    <row r="236" spans="2:2" ht="15.75" customHeight="1" x14ac:dyDescent="0.2"/>
    <row r="237" spans="2:2" ht="15.75" customHeight="1" x14ac:dyDescent="0.2"/>
    <row r="238" spans="2:2" ht="15.75" customHeight="1" x14ac:dyDescent="0.2"/>
    <row r="239" spans="2:2" ht="15.75" customHeight="1" x14ac:dyDescent="0.2"/>
    <row r="240" spans="2: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20:A29"/>
    <mergeCell ref="A30:A33"/>
    <mergeCell ref="B3:B6"/>
    <mergeCell ref="C3:F6"/>
    <mergeCell ref="A11:A14"/>
    <mergeCell ref="A15:A16"/>
    <mergeCell ref="A17:A19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F1000"/>
  <sheetViews>
    <sheetView workbookViewId="0">
      <selection activeCell="E13" sqref="E13"/>
    </sheetView>
  </sheetViews>
  <sheetFormatPr baseColWidth="10" defaultColWidth="14.42578125" defaultRowHeight="15" customHeight="1" x14ac:dyDescent="0.2"/>
  <cols>
    <col min="1" max="1" width="10.85546875" customWidth="1"/>
    <col min="2" max="2" width="36.140625" customWidth="1"/>
    <col min="3" max="3" width="64" customWidth="1"/>
    <col min="4" max="5" width="50.85546875" customWidth="1"/>
    <col min="6" max="6" width="122.42578125" customWidth="1"/>
  </cols>
  <sheetData>
    <row r="1" spans="2:5" ht="12.75" customHeight="1" x14ac:dyDescent="0.2"/>
    <row r="2" spans="2:5" ht="12.75" customHeight="1" x14ac:dyDescent="0.2">
      <c r="B2" s="163"/>
      <c r="C2" s="169" t="s">
        <v>327</v>
      </c>
      <c r="D2" s="164"/>
      <c r="E2" s="170"/>
    </row>
    <row r="3" spans="2:5" ht="12.75" customHeight="1" x14ac:dyDescent="0.2">
      <c r="B3" s="165"/>
      <c r="C3" s="165"/>
      <c r="D3" s="166"/>
      <c r="E3" s="171"/>
    </row>
    <row r="4" spans="2:5" ht="12.75" customHeight="1" x14ac:dyDescent="0.2">
      <c r="B4" s="165"/>
      <c r="C4" s="165"/>
      <c r="D4" s="166"/>
      <c r="E4" s="171"/>
    </row>
    <row r="5" spans="2:5" ht="12.75" customHeight="1" x14ac:dyDescent="0.2">
      <c r="B5" s="165"/>
      <c r="C5" s="165"/>
      <c r="D5" s="166"/>
      <c r="E5" s="171"/>
    </row>
    <row r="6" spans="2:5" ht="12.75" customHeight="1" x14ac:dyDescent="0.2">
      <c r="B6" s="167"/>
      <c r="C6" s="167"/>
      <c r="D6" s="168"/>
      <c r="E6" s="172"/>
    </row>
    <row r="7" spans="2:5" ht="12.75" customHeight="1" x14ac:dyDescent="0.2">
      <c r="B7" s="16"/>
      <c r="C7" s="5"/>
      <c r="D7" s="5"/>
      <c r="E7" s="5"/>
    </row>
    <row r="8" spans="2:5" ht="24.75" customHeight="1" x14ac:dyDescent="0.35">
      <c r="B8" s="160" t="s">
        <v>26</v>
      </c>
      <c r="C8" s="162"/>
      <c r="D8" s="5"/>
      <c r="E8" s="5"/>
    </row>
    <row r="9" spans="2:5" ht="12.75" customHeight="1" x14ac:dyDescent="0.2">
      <c r="B9" s="4"/>
      <c r="C9" s="5"/>
      <c r="D9" s="5"/>
      <c r="E9" s="5"/>
    </row>
    <row r="10" spans="2:5" ht="12.75" customHeight="1" x14ac:dyDescent="0.2"/>
    <row r="11" spans="2:5" ht="45" customHeight="1" x14ac:dyDescent="0.3">
      <c r="B11" s="62" t="s">
        <v>152</v>
      </c>
      <c r="C11" s="62" t="s">
        <v>20</v>
      </c>
      <c r="D11" s="62" t="s">
        <v>153</v>
      </c>
    </row>
    <row r="12" spans="2:5" ht="60" customHeight="1" x14ac:dyDescent="0.2">
      <c r="B12" s="200" t="str">
        <f>EVALUACION!B18</f>
        <v>Escritura del documento</v>
      </c>
      <c r="C12" s="63" t="str">
        <f>EVALUACION!F18</f>
        <v>Ortografía, vocabulario, gramática.</v>
      </c>
      <c r="D12" s="64" t="s">
        <v>154</v>
      </c>
    </row>
    <row r="13" spans="2:5" ht="60" customHeight="1" x14ac:dyDescent="0.2">
      <c r="B13" s="196"/>
      <c r="C13" s="63" t="str">
        <f>EVALUACION!F19</f>
        <v>Cohesión y coherencia.</v>
      </c>
      <c r="D13" s="64" t="s">
        <v>154</v>
      </c>
    </row>
    <row r="14" spans="2:5" ht="60" customHeight="1" x14ac:dyDescent="0.2">
      <c r="B14" s="196"/>
      <c r="C14" s="63" t="str">
        <f>EVALUACION!F20</f>
        <v>Citaciones y Bibliografía</v>
      </c>
      <c r="D14" s="64"/>
    </row>
    <row r="15" spans="2:5" ht="60" customHeight="1" x14ac:dyDescent="0.2">
      <c r="B15" s="197"/>
      <c r="C15" s="63" t="str">
        <f>EVALUACION!F21</f>
        <v>Estructura IMRC</v>
      </c>
      <c r="D15" s="64"/>
    </row>
    <row r="16" spans="2:5" ht="60" customHeight="1" x14ac:dyDescent="0.2">
      <c r="B16" s="200" t="str">
        <f>EVALUACION!B22</f>
        <v>Fundamentación Teórica</v>
      </c>
      <c r="C16" s="63" t="str">
        <f>EVALUACION!F22</f>
        <v>Marco Teórico</v>
      </c>
      <c r="D16" s="65" t="s">
        <v>155</v>
      </c>
    </row>
    <row r="17" spans="2:4" ht="60" customHeight="1" x14ac:dyDescent="0.2">
      <c r="B17" s="197"/>
      <c r="C17" s="63" t="str">
        <f>EVALUACION!F23</f>
        <v>Estado del Arte</v>
      </c>
      <c r="D17" s="65" t="s">
        <v>155</v>
      </c>
    </row>
    <row r="18" spans="2:4" ht="60" customHeight="1" x14ac:dyDescent="0.2">
      <c r="B18" s="200" t="str">
        <f>EVALUACION!B24</f>
        <v>Constitución del proyecto</v>
      </c>
      <c r="C18" s="63" t="str">
        <f>EVALUACION!F24</f>
        <v>Formulación del Problema de Negocio (motivación y antecedentes).</v>
      </c>
      <c r="D18" s="65" t="s">
        <v>155</v>
      </c>
    </row>
    <row r="19" spans="2:4" ht="60" customHeight="1" x14ac:dyDescent="0.2">
      <c r="B19" s="196"/>
      <c r="C19" s="63" t="str">
        <f>EVALUACION!F25</f>
        <v>Objetivos</v>
      </c>
      <c r="D19" s="65" t="s">
        <v>155</v>
      </c>
    </row>
    <row r="20" spans="2:4" ht="60" customHeight="1" x14ac:dyDescent="0.2">
      <c r="B20" s="197"/>
      <c r="C20" s="63" t="str">
        <f>EVALUACION!F26</f>
        <v>Metodología</v>
      </c>
      <c r="D20" s="65" t="s">
        <v>155</v>
      </c>
    </row>
    <row r="21" spans="2:4" ht="60" customHeight="1" x14ac:dyDescent="0.2">
      <c r="B21" s="201" t="str">
        <f>EVALUACION!B27</f>
        <v>Aplicación de Ciencia de Datos</v>
      </c>
      <c r="C21" s="63" t="str">
        <f>EVALUACION!F27</f>
        <v>Selección y estudio de viabilidad del dataset para un proyecto de ciencias de datos.</v>
      </c>
      <c r="D21" s="65" t="s">
        <v>156</v>
      </c>
    </row>
    <row r="22" spans="2:4" ht="60" customHeight="1" x14ac:dyDescent="0.2">
      <c r="B22" s="196"/>
      <c r="C22" s="63" t="str">
        <f>EVALUACION!F28</f>
        <v>Identificación del tipo de problema y del paradigma de IA adecuado para abordarlo.</v>
      </c>
      <c r="D22" s="65" t="s">
        <v>156</v>
      </c>
    </row>
    <row r="23" spans="2:4" ht="60" customHeight="1" x14ac:dyDescent="0.2">
      <c r="B23" s="196"/>
      <c r="C23" s="63" t="str">
        <f>EVALUACION!F29</f>
        <v>Revisión y justificación sobre el proceso de selección y descarte de features. </v>
      </c>
      <c r="D23" s="65" t="s">
        <v>156</v>
      </c>
    </row>
    <row r="24" spans="2:4" ht="60" customHeight="1" x14ac:dyDescent="0.2">
      <c r="B24" s="196"/>
      <c r="C24" s="63" t="str">
        <f>EVALUACION!F30</f>
        <v>Acciones de preprocesamiento y su justificación.</v>
      </c>
      <c r="D24" s="65" t="s">
        <v>156</v>
      </c>
    </row>
    <row r="25" spans="2:4" ht="60" customHeight="1" x14ac:dyDescent="0.2">
      <c r="B25" s="196"/>
      <c r="C25" s="63" t="str">
        <f>EVALUACION!F31</f>
        <v>Selección y justificación de los algoritmos de entrenamiento.</v>
      </c>
      <c r="D25" s="65" t="s">
        <v>156</v>
      </c>
    </row>
    <row r="26" spans="2:4" ht="60" customHeight="1" x14ac:dyDescent="0.2">
      <c r="B26" s="196"/>
      <c r="C26" s="63" t="str">
        <f>EVALUACION!F32</f>
        <v>Selección y justificación de las métricas de desempeño.</v>
      </c>
      <c r="D26" s="65" t="s">
        <v>156</v>
      </c>
    </row>
    <row r="27" spans="2:4" ht="60" customHeight="1" x14ac:dyDescent="0.2">
      <c r="B27" s="196"/>
      <c r="C27" s="63" t="str">
        <f>EVALUACION!F33</f>
        <v>Generación de modelos de IA.</v>
      </c>
      <c r="D27" s="65" t="s">
        <v>156</v>
      </c>
    </row>
    <row r="28" spans="2:4" ht="60" customHeight="1" x14ac:dyDescent="0.2">
      <c r="B28" s="196"/>
      <c r="C28" s="63" t="str">
        <f>EVALUACION!F34</f>
        <v>Estrategias de optimización para cada modelo.</v>
      </c>
      <c r="D28" s="65" t="s">
        <v>156</v>
      </c>
    </row>
    <row r="29" spans="2:4" ht="60" customHeight="1" x14ac:dyDescent="0.2">
      <c r="B29" s="196"/>
      <c r="C29" s="63" t="str">
        <f>EVALUACION!F35</f>
        <v>Comparativo de los modelos de IA a través de la discusión y análisis desde las métricas de desempeño.</v>
      </c>
      <c r="D29" s="65" t="s">
        <v>156</v>
      </c>
    </row>
    <row r="30" spans="2:4" ht="60" customHeight="1" x14ac:dyDescent="0.2">
      <c r="B30" s="197"/>
      <c r="C30" s="63" t="str">
        <f>EVALUACION!F36</f>
        <v>VoBO y feedback del stakeholder del sector industria.</v>
      </c>
      <c r="D30" s="64" t="s">
        <v>157</v>
      </c>
    </row>
    <row r="31" spans="2:4" ht="78" customHeight="1" x14ac:dyDescent="0.2">
      <c r="B31" s="204" t="str">
        <f>EVALUACION!B37</f>
        <v>Sustentación</v>
      </c>
      <c r="C31" s="66" t="str">
        <f>EVALUACION!F37</f>
        <v xml:space="preserve">Presentación e  Introducción </v>
      </c>
      <c r="D31" s="64"/>
    </row>
    <row r="32" spans="2:4" ht="60" customHeight="1" x14ac:dyDescent="0.2">
      <c r="B32" s="196"/>
      <c r="C32" s="66" t="str">
        <f>EVALUACION!F38</f>
        <v xml:space="preserve">Estructura de la  presentación </v>
      </c>
      <c r="D32" s="64" t="s">
        <v>154</v>
      </c>
    </row>
    <row r="33" spans="2:6" ht="60" customHeight="1" x14ac:dyDescent="0.2">
      <c r="B33" s="196"/>
      <c r="C33" s="66" t="str">
        <f>EVALUACION!F39</f>
        <v>Dominio del Contenido y defensa de argumentos.</v>
      </c>
      <c r="D33" s="64"/>
    </row>
    <row r="34" spans="2:6" ht="75.75" customHeight="1" x14ac:dyDescent="0.2">
      <c r="B34" s="197"/>
      <c r="C34" s="66" t="str">
        <f>EVALUACION!F40</f>
        <v xml:space="preserve">Conclusiones y cierre de la  presentación </v>
      </c>
      <c r="D34" s="64"/>
    </row>
    <row r="35" spans="2:6" ht="30" customHeight="1" x14ac:dyDescent="0.2"/>
    <row r="36" spans="2:6" ht="30" customHeight="1" x14ac:dyDescent="0.3">
      <c r="B36" s="205" t="s">
        <v>158</v>
      </c>
      <c r="C36" s="206" t="s">
        <v>159</v>
      </c>
      <c r="D36" s="67" t="s">
        <v>160</v>
      </c>
      <c r="E36" s="68" t="s">
        <v>161</v>
      </c>
      <c r="F36" s="68" t="s">
        <v>162</v>
      </c>
    </row>
    <row r="37" spans="2:6" ht="24.75" customHeight="1" x14ac:dyDescent="0.2">
      <c r="B37" s="165"/>
      <c r="C37" s="207"/>
      <c r="D37" s="208" t="s">
        <v>163</v>
      </c>
      <c r="E37" s="209" t="s">
        <v>164</v>
      </c>
      <c r="F37" s="69" t="str">
        <f>C32</f>
        <v xml:space="preserve">Estructura de la  presentación </v>
      </c>
    </row>
    <row r="38" spans="2:6" ht="24.75" customHeight="1" x14ac:dyDescent="0.2">
      <c r="B38" s="165"/>
      <c r="C38" s="207"/>
      <c r="D38" s="183"/>
      <c r="E38" s="183"/>
      <c r="F38" s="70" t="str">
        <f t="shared" ref="F38:F39" si="0">C12</f>
        <v>Ortografía, vocabulario, gramática.</v>
      </c>
    </row>
    <row r="39" spans="2:6" ht="24.75" customHeight="1" x14ac:dyDescent="0.2">
      <c r="B39" s="165"/>
      <c r="C39" s="207"/>
      <c r="D39" s="183"/>
      <c r="E39" s="183"/>
      <c r="F39" s="71" t="str">
        <f t="shared" si="0"/>
        <v>Cohesión y coherencia.</v>
      </c>
    </row>
    <row r="40" spans="2:6" ht="30" customHeight="1" x14ac:dyDescent="0.2">
      <c r="B40" s="165"/>
      <c r="C40" s="207"/>
      <c r="D40" s="184"/>
      <c r="E40" s="72" t="s">
        <v>165</v>
      </c>
      <c r="F40" s="73" t="str">
        <f>C30</f>
        <v>VoBO y feedback del stakeholder del sector industria.</v>
      </c>
    </row>
    <row r="41" spans="2:6" ht="24.75" customHeight="1" x14ac:dyDescent="0.2">
      <c r="B41" s="165"/>
      <c r="C41" s="207"/>
      <c r="D41" s="202" t="s">
        <v>166</v>
      </c>
      <c r="E41" s="210" t="s">
        <v>167</v>
      </c>
      <c r="F41" s="74" t="str">
        <f t="shared" ref="F41:F54" si="1">C16</f>
        <v>Marco Teórico</v>
      </c>
    </row>
    <row r="42" spans="2:6" ht="24.75" customHeight="1" x14ac:dyDescent="0.2">
      <c r="B42" s="165"/>
      <c r="C42" s="207"/>
      <c r="D42" s="183"/>
      <c r="E42" s="183"/>
      <c r="F42" s="75" t="str">
        <f t="shared" si="1"/>
        <v>Estado del Arte</v>
      </c>
    </row>
    <row r="43" spans="2:6" ht="24.75" customHeight="1" x14ac:dyDescent="0.2">
      <c r="B43" s="165"/>
      <c r="C43" s="207"/>
      <c r="D43" s="183"/>
      <c r="E43" s="183"/>
      <c r="F43" s="75" t="str">
        <f t="shared" si="1"/>
        <v>Formulación del Problema de Negocio (motivación y antecedentes).</v>
      </c>
    </row>
    <row r="44" spans="2:6" ht="24.75" customHeight="1" x14ac:dyDescent="0.2">
      <c r="B44" s="165"/>
      <c r="C44" s="207"/>
      <c r="D44" s="183"/>
      <c r="E44" s="183"/>
      <c r="F44" s="75" t="str">
        <f t="shared" si="1"/>
        <v>Objetivos</v>
      </c>
    </row>
    <row r="45" spans="2:6" ht="24.75" customHeight="1" x14ac:dyDescent="0.2">
      <c r="B45" s="165"/>
      <c r="C45" s="207"/>
      <c r="D45" s="184"/>
      <c r="E45" s="184"/>
      <c r="F45" s="76" t="str">
        <f t="shared" si="1"/>
        <v>Metodología</v>
      </c>
    </row>
    <row r="46" spans="2:6" ht="24.75" customHeight="1" x14ac:dyDescent="0.2">
      <c r="B46" s="165"/>
      <c r="C46" s="207"/>
      <c r="D46" s="202" t="s">
        <v>168</v>
      </c>
      <c r="E46" s="203" t="s">
        <v>169</v>
      </c>
      <c r="F46" s="77" t="str">
        <f t="shared" si="1"/>
        <v>Selección y estudio de viabilidad del dataset para un proyecto de ciencias de datos.</v>
      </c>
    </row>
    <row r="47" spans="2:6" ht="24.75" customHeight="1" x14ac:dyDescent="0.2">
      <c r="B47" s="165"/>
      <c r="C47" s="207"/>
      <c r="D47" s="183"/>
      <c r="E47" s="183"/>
      <c r="F47" s="78" t="str">
        <f t="shared" si="1"/>
        <v>Identificación del tipo de problema y del paradigma de IA adecuado para abordarlo.</v>
      </c>
    </row>
    <row r="48" spans="2:6" ht="24.75" customHeight="1" x14ac:dyDescent="0.2">
      <c r="B48" s="165"/>
      <c r="C48" s="207"/>
      <c r="D48" s="183"/>
      <c r="E48" s="183"/>
      <c r="F48" s="78" t="str">
        <f t="shared" si="1"/>
        <v>Revisión y justificación sobre el proceso de selección y descarte de features. </v>
      </c>
    </row>
    <row r="49" spans="2:6" ht="24.75" customHeight="1" x14ac:dyDescent="0.2">
      <c r="B49" s="165"/>
      <c r="C49" s="207"/>
      <c r="D49" s="183"/>
      <c r="E49" s="183"/>
      <c r="F49" s="78" t="str">
        <f t="shared" si="1"/>
        <v>Acciones de preprocesamiento y su justificación.</v>
      </c>
    </row>
    <row r="50" spans="2:6" ht="24.75" customHeight="1" x14ac:dyDescent="0.2">
      <c r="B50" s="165"/>
      <c r="C50" s="207"/>
      <c r="D50" s="183"/>
      <c r="E50" s="183"/>
      <c r="F50" s="78" t="str">
        <f t="shared" si="1"/>
        <v>Selección y justificación de los algoritmos de entrenamiento.</v>
      </c>
    </row>
    <row r="51" spans="2:6" ht="24.75" customHeight="1" x14ac:dyDescent="0.2">
      <c r="B51" s="165"/>
      <c r="C51" s="207"/>
      <c r="D51" s="183"/>
      <c r="E51" s="183"/>
      <c r="F51" s="78" t="str">
        <f t="shared" si="1"/>
        <v>Selección y justificación de las métricas de desempeño.</v>
      </c>
    </row>
    <row r="52" spans="2:6" ht="43.5" customHeight="1" x14ac:dyDescent="0.2">
      <c r="B52" s="165"/>
      <c r="C52" s="207"/>
      <c r="D52" s="183"/>
      <c r="E52" s="183"/>
      <c r="F52" s="78" t="str">
        <f t="shared" si="1"/>
        <v>Generación de modelos de IA.</v>
      </c>
    </row>
    <row r="53" spans="2:6" x14ac:dyDescent="0.2">
      <c r="B53" s="165"/>
      <c r="C53" s="207"/>
      <c r="D53" s="183"/>
      <c r="E53" s="183"/>
      <c r="F53" s="78" t="str">
        <f t="shared" si="1"/>
        <v>Estrategias de optimización para cada modelo.</v>
      </c>
    </row>
    <row r="54" spans="2:6" x14ac:dyDescent="0.2">
      <c r="B54" s="167"/>
      <c r="C54" s="191"/>
      <c r="D54" s="184"/>
      <c r="E54" s="184"/>
      <c r="F54" s="79" t="str">
        <f t="shared" si="1"/>
        <v>Comparativo de los modelos de IA a través de la discusión y análisis desde las métricas de desempeño.</v>
      </c>
    </row>
    <row r="55" spans="2:6" x14ac:dyDescent="0.2">
      <c r="F55" s="78"/>
    </row>
    <row r="56" spans="2:6" ht="12.75" customHeight="1" x14ac:dyDescent="0.2"/>
    <row r="57" spans="2:6" ht="12.75" customHeight="1" x14ac:dyDescent="0.2"/>
    <row r="58" spans="2:6" ht="12.75" customHeight="1" x14ac:dyDescent="0.2"/>
    <row r="59" spans="2:6" ht="12.75" customHeight="1" x14ac:dyDescent="0.2"/>
    <row r="60" spans="2:6" ht="12.75" customHeight="1" x14ac:dyDescent="0.2"/>
    <row r="61" spans="2:6" ht="12.75" customHeight="1" x14ac:dyDescent="0.2"/>
    <row r="62" spans="2:6" ht="12.75" customHeight="1" x14ac:dyDescent="0.2"/>
    <row r="63" spans="2:6" ht="12.75" customHeight="1" x14ac:dyDescent="0.2"/>
    <row r="64" spans="2:6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B2:B6"/>
    <mergeCell ref="C2:E6"/>
    <mergeCell ref="B8:C8"/>
    <mergeCell ref="B12:B15"/>
    <mergeCell ref="B16:B17"/>
    <mergeCell ref="B18:B20"/>
    <mergeCell ref="B21:B30"/>
    <mergeCell ref="D46:D54"/>
    <mergeCell ref="E46:E54"/>
    <mergeCell ref="B31:B34"/>
    <mergeCell ref="B36:B54"/>
    <mergeCell ref="C36:C54"/>
    <mergeCell ref="D37:D40"/>
    <mergeCell ref="E37:E39"/>
    <mergeCell ref="D41:D45"/>
    <mergeCell ref="E41:E45"/>
  </mergeCells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G1000"/>
  <sheetViews>
    <sheetView workbookViewId="0">
      <selection activeCell="F5" sqref="F5"/>
    </sheetView>
  </sheetViews>
  <sheetFormatPr baseColWidth="10" defaultColWidth="14.42578125" defaultRowHeight="15" customHeight="1" x14ac:dyDescent="0.2"/>
  <cols>
    <col min="1" max="1" width="10.85546875" customWidth="1"/>
    <col min="2" max="4" width="50.85546875" customWidth="1"/>
    <col min="5" max="7" width="30.85546875" customWidth="1"/>
  </cols>
  <sheetData>
    <row r="1" spans="2:7" ht="12.75" customHeight="1" x14ac:dyDescent="0.2"/>
    <row r="2" spans="2:7" ht="12.75" customHeight="1" x14ac:dyDescent="0.2">
      <c r="B2" s="163"/>
      <c r="C2" s="169" t="s">
        <v>327</v>
      </c>
      <c r="D2" s="170"/>
    </row>
    <row r="3" spans="2:7" ht="12.75" customHeight="1" x14ac:dyDescent="0.2">
      <c r="B3" s="165"/>
      <c r="C3" s="165"/>
      <c r="D3" s="171"/>
    </row>
    <row r="4" spans="2:7" ht="12.75" customHeight="1" x14ac:dyDescent="0.2">
      <c r="B4" s="165"/>
      <c r="C4" s="165"/>
      <c r="D4" s="171"/>
    </row>
    <row r="5" spans="2:7" ht="12.75" customHeight="1" x14ac:dyDescent="0.2">
      <c r="B5" s="165"/>
      <c r="C5" s="165"/>
      <c r="D5" s="171"/>
    </row>
    <row r="6" spans="2:7" ht="12.75" customHeight="1" x14ac:dyDescent="0.2">
      <c r="B6" s="167"/>
      <c r="C6" s="167"/>
      <c r="D6" s="172"/>
    </row>
    <row r="7" spans="2:7" ht="12.75" customHeight="1" x14ac:dyDescent="0.2">
      <c r="B7" s="16"/>
      <c r="C7" s="5"/>
      <c r="D7" s="5"/>
    </row>
    <row r="8" spans="2:7" ht="24.75" customHeight="1" x14ac:dyDescent="0.35">
      <c r="B8" s="160" t="s">
        <v>26</v>
      </c>
      <c r="C8" s="162"/>
      <c r="D8" s="5"/>
    </row>
    <row r="9" spans="2:7" ht="30" customHeight="1" x14ac:dyDescent="0.2"/>
    <row r="10" spans="2:7" ht="30" customHeight="1" x14ac:dyDescent="0.3">
      <c r="B10" s="67" t="s">
        <v>160</v>
      </c>
      <c r="C10" s="80" t="s">
        <v>161</v>
      </c>
      <c r="D10" s="81" t="s">
        <v>162</v>
      </c>
      <c r="E10" s="80" t="s">
        <v>170</v>
      </c>
      <c r="F10" s="82" t="s">
        <v>171</v>
      </c>
      <c r="G10" s="83" t="s">
        <v>172</v>
      </c>
    </row>
    <row r="11" spans="2:7" ht="15" customHeight="1" x14ac:dyDescent="0.2">
      <c r="B11" s="208" t="s">
        <v>173</v>
      </c>
      <c r="C11" s="212" t="s">
        <v>174</v>
      </c>
      <c r="D11" s="69" t="str">
        <f>MAPEO!F37</f>
        <v xml:space="preserve">Estructura de la  presentación </v>
      </c>
      <c r="E11" s="84">
        <f>Rúbrica!H31</f>
        <v>0</v>
      </c>
      <c r="F11" s="84">
        <f t="shared" ref="F11:F28" si="0">IF(E11&gt;=4.5,4,IF(E11&gt;=3.8,3,(IF(E11&gt;=3,2,1))))</f>
        <v>1</v>
      </c>
      <c r="G11" s="85" t="str">
        <f t="shared" ref="G11:G28" si="1">IF(E11&gt;=4.5,"Excede el Estándar",IF(E11&gt;=3.8,"Logra el Estándar",IF(E11&gt;=3,"Se acerca al estándar","NO cumple con el Estándar")))</f>
        <v>NO cumple con el Estándar</v>
      </c>
    </row>
    <row r="12" spans="2:7" ht="15" customHeight="1" x14ac:dyDescent="0.2">
      <c r="B12" s="183"/>
      <c r="C12" s="165"/>
      <c r="D12" s="70" t="str">
        <f>MAPEO!F38</f>
        <v>Ortografía, vocabulario, gramática.</v>
      </c>
      <c r="E12" s="86">
        <f>Rúbrica!H11</f>
        <v>0</v>
      </c>
      <c r="F12" s="86">
        <f t="shared" si="0"/>
        <v>1</v>
      </c>
      <c r="G12" s="87" t="str">
        <f t="shared" si="1"/>
        <v>NO cumple con el Estándar</v>
      </c>
    </row>
    <row r="13" spans="2:7" ht="15" customHeight="1" x14ac:dyDescent="0.2">
      <c r="B13" s="183"/>
      <c r="C13" s="167"/>
      <c r="D13" s="88" t="str">
        <f>MAPEO!F39</f>
        <v>Cohesión y coherencia.</v>
      </c>
      <c r="E13" s="89">
        <f>Rúbrica!H12</f>
        <v>0</v>
      </c>
      <c r="F13" s="89">
        <f t="shared" si="0"/>
        <v>1</v>
      </c>
      <c r="G13" s="90" t="str">
        <f t="shared" si="1"/>
        <v>NO cumple con el Estándar</v>
      </c>
    </row>
    <row r="14" spans="2:7" ht="60" customHeight="1" x14ac:dyDescent="0.2">
      <c r="B14" s="184"/>
      <c r="C14" s="91" t="s">
        <v>175</v>
      </c>
      <c r="D14" s="92" t="str">
        <f>MAPEO!F40</f>
        <v>VoBO y feedback del stakeholder del sector industria.</v>
      </c>
      <c r="E14" s="93">
        <f>Rúbrica!H29</f>
        <v>0</v>
      </c>
      <c r="F14" s="93">
        <f t="shared" si="0"/>
        <v>1</v>
      </c>
      <c r="G14" s="94" t="str">
        <f t="shared" si="1"/>
        <v>NO cumple con el Estándar</v>
      </c>
    </row>
    <row r="15" spans="2:7" ht="19.5" customHeight="1" x14ac:dyDescent="0.2">
      <c r="B15" s="202" t="s">
        <v>176</v>
      </c>
      <c r="C15" s="213" t="s">
        <v>177</v>
      </c>
      <c r="D15" s="95" t="str">
        <f>MAPEO!F41</f>
        <v>Marco Teórico</v>
      </c>
      <c r="E15" s="84">
        <f>Rúbrica!H15</f>
        <v>0</v>
      </c>
      <c r="F15" s="84">
        <f t="shared" si="0"/>
        <v>1</v>
      </c>
      <c r="G15" s="85" t="str">
        <f t="shared" si="1"/>
        <v>NO cumple con el Estándar</v>
      </c>
    </row>
    <row r="16" spans="2:7" x14ac:dyDescent="0.2">
      <c r="B16" s="183"/>
      <c r="C16" s="165"/>
      <c r="D16" s="96" t="str">
        <f>MAPEO!F42</f>
        <v>Estado del Arte</v>
      </c>
      <c r="E16" s="86">
        <f>Rúbrica!H16</f>
        <v>0</v>
      </c>
      <c r="F16" s="86">
        <f t="shared" si="0"/>
        <v>1</v>
      </c>
      <c r="G16" s="87" t="str">
        <f t="shared" si="1"/>
        <v>NO cumple con el Estándar</v>
      </c>
    </row>
    <row r="17" spans="2:7" ht="30" x14ac:dyDescent="0.2">
      <c r="B17" s="183"/>
      <c r="C17" s="165"/>
      <c r="D17" s="96" t="str">
        <f>MAPEO!F43</f>
        <v>Formulación del Problema de Negocio (motivación y antecedentes).</v>
      </c>
      <c r="E17" s="86">
        <f>Rúbrica!H17</f>
        <v>0</v>
      </c>
      <c r="F17" s="86">
        <f t="shared" si="0"/>
        <v>1</v>
      </c>
      <c r="G17" s="87" t="str">
        <f t="shared" si="1"/>
        <v>NO cumple con el Estándar</v>
      </c>
    </row>
    <row r="18" spans="2:7" ht="19.5" customHeight="1" x14ac:dyDescent="0.2">
      <c r="B18" s="184"/>
      <c r="C18" s="167"/>
      <c r="D18" s="97" t="str">
        <f>MAPEO!F44</f>
        <v>Objetivos</v>
      </c>
      <c r="E18" s="98">
        <f>Rúbrica!H18</f>
        <v>0</v>
      </c>
      <c r="F18" s="98">
        <f t="shared" si="0"/>
        <v>1</v>
      </c>
      <c r="G18" s="90" t="str">
        <f t="shared" si="1"/>
        <v>NO cumple con el Estándar</v>
      </c>
    </row>
    <row r="19" spans="2:7" ht="18" customHeight="1" x14ac:dyDescent="0.2">
      <c r="B19" s="202" t="s">
        <v>178</v>
      </c>
      <c r="C19" s="211" t="s">
        <v>179</v>
      </c>
      <c r="D19" s="99" t="str">
        <f>MAPEO!F45</f>
        <v>Metodología</v>
      </c>
      <c r="E19" s="100">
        <f>Rúbrica!H19</f>
        <v>0</v>
      </c>
      <c r="F19" s="100">
        <f t="shared" si="0"/>
        <v>1</v>
      </c>
      <c r="G19" s="101" t="str">
        <f t="shared" si="1"/>
        <v>NO cumple con el Estándar</v>
      </c>
    </row>
    <row r="20" spans="2:7" ht="30" x14ac:dyDescent="0.2">
      <c r="B20" s="183"/>
      <c r="C20" s="176"/>
      <c r="D20" s="70" t="str">
        <f>MAPEO!F46</f>
        <v>Selección y estudio de viabilidad del dataset para un proyecto de ciencias de datos.</v>
      </c>
      <c r="E20" s="86">
        <f>Rúbrica!H20</f>
        <v>0</v>
      </c>
      <c r="F20" s="86">
        <f t="shared" si="0"/>
        <v>1</v>
      </c>
      <c r="G20" s="87" t="str">
        <f t="shared" si="1"/>
        <v>NO cumple con el Estándar</v>
      </c>
    </row>
    <row r="21" spans="2:7" ht="15.75" customHeight="1" x14ac:dyDescent="0.2">
      <c r="B21" s="183"/>
      <c r="C21" s="176"/>
      <c r="D21" s="70" t="str">
        <f>MAPEO!F47</f>
        <v>Identificación del tipo de problema y del paradigma de IA adecuado para abordarlo.</v>
      </c>
      <c r="E21" s="86">
        <f>Rúbrica!H21</f>
        <v>0</v>
      </c>
      <c r="F21" s="86">
        <f t="shared" si="0"/>
        <v>1</v>
      </c>
      <c r="G21" s="87" t="str">
        <f t="shared" si="1"/>
        <v>NO cumple con el Estándar</v>
      </c>
    </row>
    <row r="22" spans="2:7" ht="15.75" customHeight="1" x14ac:dyDescent="0.2">
      <c r="B22" s="183"/>
      <c r="C22" s="176"/>
      <c r="D22" s="70" t="str">
        <f>MAPEO!F48</f>
        <v>Revisión y justificación sobre el proceso de selección y descarte de features. </v>
      </c>
      <c r="E22" s="86">
        <f>Rúbrica!H22</f>
        <v>0</v>
      </c>
      <c r="F22" s="86">
        <f t="shared" si="0"/>
        <v>1</v>
      </c>
      <c r="G22" s="87" t="str">
        <f t="shared" si="1"/>
        <v>NO cumple con el Estándar</v>
      </c>
    </row>
    <row r="23" spans="2:7" ht="15.75" customHeight="1" x14ac:dyDescent="0.2">
      <c r="B23" s="183"/>
      <c r="C23" s="176"/>
      <c r="D23" s="70" t="str">
        <f>MAPEO!F49</f>
        <v>Acciones de preprocesamiento y su justificación.</v>
      </c>
      <c r="E23" s="86">
        <f>Rúbrica!H23</f>
        <v>0</v>
      </c>
      <c r="F23" s="86">
        <f t="shared" si="0"/>
        <v>1</v>
      </c>
      <c r="G23" s="87" t="str">
        <f t="shared" si="1"/>
        <v>NO cumple con el Estándar</v>
      </c>
    </row>
    <row r="24" spans="2:7" ht="15.75" customHeight="1" x14ac:dyDescent="0.2">
      <c r="B24" s="183"/>
      <c r="C24" s="176"/>
      <c r="D24" s="70" t="str">
        <f>MAPEO!F50</f>
        <v>Selección y justificación de los algoritmos de entrenamiento.</v>
      </c>
      <c r="E24" s="86">
        <f>Rúbrica!H24</f>
        <v>0</v>
      </c>
      <c r="F24" s="86">
        <f t="shared" si="0"/>
        <v>1</v>
      </c>
      <c r="G24" s="87" t="str">
        <f t="shared" si="1"/>
        <v>NO cumple con el Estándar</v>
      </c>
    </row>
    <row r="25" spans="2:7" ht="15.75" customHeight="1" x14ac:dyDescent="0.2">
      <c r="B25" s="183"/>
      <c r="C25" s="176"/>
      <c r="D25" s="70" t="str">
        <f>MAPEO!F51</f>
        <v>Selección y justificación de las métricas de desempeño.</v>
      </c>
      <c r="E25" s="86">
        <f>Rúbrica!H25</f>
        <v>0</v>
      </c>
      <c r="F25" s="86">
        <f t="shared" si="0"/>
        <v>1</v>
      </c>
      <c r="G25" s="87" t="str">
        <f t="shared" si="1"/>
        <v>NO cumple con el Estándar</v>
      </c>
    </row>
    <row r="26" spans="2:7" ht="15.75" customHeight="1" x14ac:dyDescent="0.2">
      <c r="B26" s="183"/>
      <c r="C26" s="176"/>
      <c r="D26" s="70" t="str">
        <f>MAPEO!F52</f>
        <v>Generación de modelos de IA.</v>
      </c>
      <c r="E26" s="86">
        <f>Rúbrica!H26</f>
        <v>0</v>
      </c>
      <c r="F26" s="86">
        <f t="shared" si="0"/>
        <v>1</v>
      </c>
      <c r="G26" s="87" t="str">
        <f t="shared" si="1"/>
        <v>NO cumple con el Estándar</v>
      </c>
    </row>
    <row r="27" spans="2:7" ht="15.75" customHeight="1" x14ac:dyDescent="0.2">
      <c r="B27" s="183"/>
      <c r="C27" s="176"/>
      <c r="D27" s="70" t="str">
        <f>MAPEO!F53</f>
        <v>Estrategias de optimización para cada modelo.</v>
      </c>
      <c r="E27" s="86">
        <f>Rúbrica!H27</f>
        <v>0</v>
      </c>
      <c r="F27" s="86">
        <f t="shared" si="0"/>
        <v>1</v>
      </c>
      <c r="G27" s="87" t="str">
        <f t="shared" si="1"/>
        <v>NO cumple con el Estándar</v>
      </c>
    </row>
    <row r="28" spans="2:7" ht="15.75" customHeight="1" x14ac:dyDescent="0.2">
      <c r="B28" s="184"/>
      <c r="C28" s="177"/>
      <c r="D28" s="88" t="str">
        <f>MAPEO!F54</f>
        <v>Comparativo de los modelos de IA a través de la discusión y análisis desde las métricas de desempeño.</v>
      </c>
      <c r="E28" s="98">
        <f>Rúbrica!H28</f>
        <v>0</v>
      </c>
      <c r="F28" s="98">
        <f t="shared" si="0"/>
        <v>1</v>
      </c>
      <c r="G28" s="90" t="str">
        <f t="shared" si="1"/>
        <v>NO cumple con el Estándar</v>
      </c>
    </row>
    <row r="29" spans="2:7" ht="12.75" customHeight="1" x14ac:dyDescent="0.2">
      <c r="D29" s="102"/>
    </row>
    <row r="30" spans="2:7" ht="12.75" customHeight="1" x14ac:dyDescent="0.2">
      <c r="D30" s="102"/>
    </row>
    <row r="31" spans="2:7" ht="12.75" customHeight="1" x14ac:dyDescent="0.2">
      <c r="D31" s="102"/>
    </row>
    <row r="32" spans="2:7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B19:B28"/>
    <mergeCell ref="C19:C28"/>
    <mergeCell ref="B2:B6"/>
    <mergeCell ref="C2:D6"/>
    <mergeCell ref="B8:C8"/>
    <mergeCell ref="B11:B14"/>
    <mergeCell ref="C11:C13"/>
    <mergeCell ref="B15:B18"/>
    <mergeCell ref="C15:C18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H1000"/>
  <sheetViews>
    <sheetView workbookViewId="0"/>
  </sheetViews>
  <sheetFormatPr baseColWidth="10" defaultColWidth="14.42578125" defaultRowHeight="15" customHeight="1" x14ac:dyDescent="0.2"/>
  <cols>
    <col min="1" max="1" width="10.85546875" customWidth="1"/>
    <col min="2" max="6" width="40.85546875" customWidth="1"/>
    <col min="7" max="8" width="40.85546875" hidden="1" customWidth="1"/>
  </cols>
  <sheetData>
    <row r="1" spans="2:8" ht="12.75" customHeight="1" x14ac:dyDescent="0.2"/>
    <row r="2" spans="2:8" ht="12.75" customHeight="1" x14ac:dyDescent="0.2"/>
    <row r="3" spans="2:8" ht="19.5" customHeight="1" x14ac:dyDescent="0.2">
      <c r="B3" s="214"/>
      <c r="C3" s="215" t="s">
        <v>180</v>
      </c>
      <c r="D3" s="164"/>
      <c r="E3" s="164"/>
      <c r="F3" s="170"/>
    </row>
    <row r="4" spans="2:8" ht="19.5" customHeight="1" x14ac:dyDescent="0.2">
      <c r="B4" s="183"/>
      <c r="C4" s="166"/>
      <c r="D4" s="166"/>
      <c r="E4" s="166"/>
      <c r="F4" s="171"/>
    </row>
    <row r="5" spans="2:8" ht="19.5" customHeight="1" x14ac:dyDescent="0.2">
      <c r="B5" s="183"/>
      <c r="C5" s="166"/>
      <c r="D5" s="166"/>
      <c r="E5" s="166"/>
      <c r="F5" s="171"/>
    </row>
    <row r="6" spans="2:8" ht="19.5" customHeight="1" x14ac:dyDescent="0.2">
      <c r="B6" s="184"/>
      <c r="C6" s="168"/>
      <c r="D6" s="168"/>
      <c r="E6" s="168"/>
      <c r="F6" s="172"/>
    </row>
    <row r="7" spans="2:8" ht="12.75" customHeight="1" x14ac:dyDescent="0.2"/>
    <row r="8" spans="2:8" ht="13.5" customHeight="1" x14ac:dyDescent="0.2"/>
    <row r="9" spans="2:8" ht="30" customHeight="1" x14ac:dyDescent="0.4">
      <c r="B9" s="103" t="s">
        <v>181</v>
      </c>
      <c r="C9" s="103" t="s">
        <v>182</v>
      </c>
    </row>
    <row r="10" spans="2:8" ht="12.75" customHeight="1" x14ac:dyDescent="0.25">
      <c r="B10" s="104"/>
      <c r="C10" s="105"/>
      <c r="D10" s="106"/>
    </row>
    <row r="11" spans="2:8" ht="12.75" customHeight="1" x14ac:dyDescent="0.25">
      <c r="B11" s="104"/>
      <c r="C11" s="105"/>
      <c r="D11" s="106"/>
    </row>
    <row r="12" spans="2:8" ht="57" customHeight="1" x14ac:dyDescent="0.2">
      <c r="B12" s="107" t="s">
        <v>6</v>
      </c>
      <c r="C12" s="42" t="s">
        <v>183</v>
      </c>
      <c r="D12" s="42" t="s">
        <v>184</v>
      </c>
      <c r="E12" s="42" t="s">
        <v>185</v>
      </c>
      <c r="F12" s="42" t="s">
        <v>186</v>
      </c>
      <c r="G12" s="44" t="s">
        <v>27</v>
      </c>
      <c r="H12" s="44" t="s">
        <v>187</v>
      </c>
    </row>
    <row r="13" spans="2:8" ht="46.5" customHeight="1" x14ac:dyDescent="0.2">
      <c r="B13" s="44" t="s">
        <v>7</v>
      </c>
      <c r="C13" s="44" t="s">
        <v>29</v>
      </c>
      <c r="D13" s="44" t="s">
        <v>11</v>
      </c>
      <c r="E13" s="44" t="s">
        <v>30</v>
      </c>
      <c r="F13" s="44" t="s">
        <v>15</v>
      </c>
      <c r="G13" s="44"/>
      <c r="H13" s="44" t="s">
        <v>7</v>
      </c>
    </row>
    <row r="14" spans="2:8" ht="79.5" customHeight="1" x14ac:dyDescent="0.2">
      <c r="B14" s="108" t="s">
        <v>188</v>
      </c>
      <c r="C14" s="109" t="s">
        <v>189</v>
      </c>
      <c r="D14" s="109" t="s">
        <v>190</v>
      </c>
      <c r="E14" s="109" t="s">
        <v>191</v>
      </c>
      <c r="F14" s="109" t="s">
        <v>192</v>
      </c>
      <c r="G14" s="50">
        <f t="shared" ref="G14:G20" si="0">IF(H14&gt;4.7,4,IF(H14&gt;=4,3,IF(H14&gt;=3.4,2,1)))</f>
        <v>1</v>
      </c>
      <c r="H14" s="110">
        <v>0</v>
      </c>
    </row>
    <row r="15" spans="2:8" ht="79.5" customHeight="1" x14ac:dyDescent="0.2">
      <c r="B15" s="108" t="s">
        <v>193</v>
      </c>
      <c r="C15" s="109" t="s">
        <v>194</v>
      </c>
      <c r="D15" s="109" t="s">
        <v>195</v>
      </c>
      <c r="E15" s="109" t="s">
        <v>196</v>
      </c>
      <c r="F15" s="109" t="s">
        <v>197</v>
      </c>
      <c r="G15" s="50">
        <f t="shared" si="0"/>
        <v>1</v>
      </c>
      <c r="H15" s="111">
        <v>0</v>
      </c>
    </row>
    <row r="16" spans="2:8" ht="79.5" customHeight="1" x14ac:dyDescent="0.2">
      <c r="B16" s="108" t="s">
        <v>198</v>
      </c>
      <c r="C16" s="109" t="s">
        <v>199</v>
      </c>
      <c r="D16" s="109" t="s">
        <v>200</v>
      </c>
      <c r="E16" s="109" t="s">
        <v>201</v>
      </c>
      <c r="F16" s="109" t="s">
        <v>202</v>
      </c>
      <c r="G16" s="50">
        <f t="shared" si="0"/>
        <v>1</v>
      </c>
      <c r="H16" s="110">
        <v>0</v>
      </c>
    </row>
    <row r="17" spans="2:8" ht="79.5" customHeight="1" x14ac:dyDescent="0.2">
      <c r="B17" s="108" t="s">
        <v>203</v>
      </c>
      <c r="C17" s="109" t="s">
        <v>204</v>
      </c>
      <c r="D17" s="109" t="s">
        <v>205</v>
      </c>
      <c r="E17" s="109" t="s">
        <v>206</v>
      </c>
      <c r="F17" s="109" t="s">
        <v>207</v>
      </c>
      <c r="G17" s="50">
        <f t="shared" si="0"/>
        <v>1</v>
      </c>
      <c r="H17" s="110">
        <v>0</v>
      </c>
    </row>
    <row r="18" spans="2:8" ht="79.5" customHeight="1" x14ac:dyDescent="0.2">
      <c r="B18" s="108" t="s">
        <v>208</v>
      </c>
      <c r="C18" s="109" t="s">
        <v>209</v>
      </c>
      <c r="D18" s="109" t="s">
        <v>210</v>
      </c>
      <c r="E18" s="109" t="s">
        <v>211</v>
      </c>
      <c r="F18" s="109" t="s">
        <v>212</v>
      </c>
      <c r="G18" s="50">
        <f t="shared" si="0"/>
        <v>1</v>
      </c>
      <c r="H18" s="110">
        <v>0</v>
      </c>
    </row>
    <row r="19" spans="2:8" ht="94.5" customHeight="1" x14ac:dyDescent="0.2">
      <c r="B19" s="108" t="s">
        <v>213</v>
      </c>
      <c r="C19" s="109" t="s">
        <v>214</v>
      </c>
      <c r="D19" s="109" t="s">
        <v>215</v>
      </c>
      <c r="E19" s="109" t="s">
        <v>216</v>
      </c>
      <c r="F19" s="109" t="s">
        <v>217</v>
      </c>
      <c r="G19" s="50">
        <f t="shared" si="0"/>
        <v>1</v>
      </c>
      <c r="H19" s="110">
        <v>0</v>
      </c>
    </row>
    <row r="20" spans="2:8" ht="79.5" customHeight="1" x14ac:dyDescent="0.2">
      <c r="B20" s="108" t="s">
        <v>218</v>
      </c>
      <c r="C20" s="109" t="s">
        <v>219</v>
      </c>
      <c r="D20" s="109" t="s">
        <v>220</v>
      </c>
      <c r="E20" s="109" t="s">
        <v>221</v>
      </c>
      <c r="F20" s="109" t="s">
        <v>222</v>
      </c>
      <c r="G20" s="50">
        <f t="shared" si="0"/>
        <v>1</v>
      </c>
      <c r="H20" s="110">
        <v>0</v>
      </c>
    </row>
    <row r="21" spans="2:8" ht="12.75" customHeight="1" x14ac:dyDescent="0.2">
      <c r="B21" s="112"/>
      <c r="C21" s="113"/>
      <c r="D21" s="113"/>
      <c r="E21" s="113"/>
      <c r="F21" s="113"/>
      <c r="G21" s="113"/>
      <c r="H21" s="114"/>
    </row>
    <row r="22" spans="2:8" ht="12.75" customHeight="1" x14ac:dyDescent="0.2">
      <c r="B22" s="112"/>
      <c r="C22" s="113"/>
      <c r="D22" s="113"/>
      <c r="E22" s="113"/>
      <c r="F22" s="113"/>
      <c r="G22" s="113"/>
      <c r="H22" s="114"/>
    </row>
    <row r="23" spans="2:8" ht="60" customHeight="1" x14ac:dyDescent="0.4">
      <c r="B23" s="115" t="s">
        <v>223</v>
      </c>
      <c r="C23" s="116" t="s">
        <v>182</v>
      </c>
      <c r="D23" s="113"/>
      <c r="E23" s="113"/>
      <c r="F23" s="113"/>
      <c r="G23" s="113"/>
      <c r="H23" s="114"/>
    </row>
    <row r="24" spans="2:8" ht="12.75" customHeight="1" x14ac:dyDescent="0.2"/>
    <row r="25" spans="2:8" ht="12.75" customHeight="1" x14ac:dyDescent="0.2"/>
    <row r="26" spans="2:8" ht="12.75" customHeight="1" x14ac:dyDescent="0.2">
      <c r="B26" s="107" t="s">
        <v>6</v>
      </c>
      <c r="C26" s="42" t="s">
        <v>183</v>
      </c>
      <c r="D26" s="42" t="s">
        <v>184</v>
      </c>
      <c r="E26" s="42" t="s">
        <v>185</v>
      </c>
      <c r="F26" s="42" t="s">
        <v>186</v>
      </c>
      <c r="G26" s="44" t="s">
        <v>27</v>
      </c>
      <c r="H26" s="44" t="s">
        <v>187</v>
      </c>
    </row>
    <row r="27" spans="2:8" ht="12.75" customHeight="1" x14ac:dyDescent="0.2">
      <c r="B27" s="44" t="s">
        <v>7</v>
      </c>
      <c r="C27" s="44" t="s">
        <v>29</v>
      </c>
      <c r="D27" s="44" t="s">
        <v>11</v>
      </c>
      <c r="E27" s="44" t="s">
        <v>30</v>
      </c>
      <c r="F27" s="44" t="s">
        <v>15</v>
      </c>
      <c r="G27" s="44"/>
      <c r="H27" s="44" t="s">
        <v>7</v>
      </c>
    </row>
    <row r="28" spans="2:8" ht="12.75" customHeight="1" x14ac:dyDescent="0.2">
      <c r="B28" s="108" t="s">
        <v>224</v>
      </c>
      <c r="C28" s="109" t="s">
        <v>225</v>
      </c>
      <c r="D28" s="109" t="s">
        <v>226</v>
      </c>
      <c r="E28" s="109" t="s">
        <v>227</v>
      </c>
      <c r="F28" s="109" t="s">
        <v>228</v>
      </c>
      <c r="G28" s="50">
        <f>IF(H28&gt;=4.7,4,IF(H28&gt;=4,3,IF(H28&gt;=3.4,2,1)))</f>
        <v>1</v>
      </c>
      <c r="H28" s="110">
        <v>0</v>
      </c>
    </row>
    <row r="29" spans="2:8" ht="12.75" customHeight="1" x14ac:dyDescent="0.2"/>
    <row r="30" spans="2:8" ht="12.75" customHeight="1" x14ac:dyDescent="0.2"/>
    <row r="31" spans="2:8" ht="12.75" customHeight="1" x14ac:dyDescent="0.2"/>
    <row r="32" spans="2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B3:B6"/>
    <mergeCell ref="C3:F6"/>
  </mergeCells>
  <printOptions horizontalCentered="1"/>
  <pageMargins left="0.45" right="0.45" top="0.5" bottom="0.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1000"/>
  <sheetViews>
    <sheetView workbookViewId="0"/>
  </sheetViews>
  <sheetFormatPr baseColWidth="10" defaultColWidth="14.42578125" defaultRowHeight="15" customHeight="1" x14ac:dyDescent="0.2"/>
  <cols>
    <col min="1" max="1" width="42.42578125" customWidth="1"/>
    <col min="2" max="5" width="21.140625" customWidth="1"/>
    <col min="6" max="9" width="16.140625" customWidth="1"/>
    <col min="10" max="10" width="20.140625" customWidth="1"/>
    <col min="11" max="11" width="18" customWidth="1"/>
  </cols>
  <sheetData>
    <row r="1" spans="1:11" ht="18" customHeight="1" x14ac:dyDescent="0.25">
      <c r="F1" s="117"/>
      <c r="G1" s="117"/>
      <c r="H1" s="117"/>
      <c r="I1" s="117"/>
    </row>
    <row r="2" spans="1:11" ht="18" customHeight="1" x14ac:dyDescent="0.25">
      <c r="A2" s="214"/>
      <c r="B2" s="215" t="s">
        <v>180</v>
      </c>
      <c r="C2" s="164"/>
      <c r="D2" s="164"/>
      <c r="E2" s="170"/>
      <c r="F2" s="117"/>
      <c r="G2" s="117"/>
      <c r="H2" s="117"/>
      <c r="I2" s="117"/>
    </row>
    <row r="3" spans="1:11" ht="34.5" customHeight="1" x14ac:dyDescent="0.25">
      <c r="A3" s="183"/>
      <c r="B3" s="166"/>
      <c r="C3" s="166"/>
      <c r="D3" s="166"/>
      <c r="E3" s="171"/>
      <c r="F3" s="117"/>
      <c r="G3" s="117"/>
      <c r="H3" s="117"/>
      <c r="I3" s="117"/>
    </row>
    <row r="4" spans="1:11" ht="18" customHeight="1" x14ac:dyDescent="0.25">
      <c r="A4" s="183"/>
      <c r="B4" s="166"/>
      <c r="C4" s="166"/>
      <c r="D4" s="166"/>
      <c r="E4" s="171"/>
      <c r="F4" s="117"/>
      <c r="G4" s="117"/>
      <c r="H4" s="117"/>
      <c r="I4" s="117"/>
    </row>
    <row r="5" spans="1:11" ht="18" customHeight="1" x14ac:dyDescent="0.25">
      <c r="A5" s="184"/>
      <c r="B5" s="168"/>
      <c r="C5" s="168"/>
      <c r="D5" s="168"/>
      <c r="E5" s="172"/>
      <c r="F5" s="117"/>
      <c r="G5" s="117"/>
      <c r="H5" s="117"/>
      <c r="I5" s="117"/>
    </row>
    <row r="6" spans="1:11" ht="18" customHeight="1" x14ac:dyDescent="0.25">
      <c r="F6" s="117"/>
      <c r="G6" s="117"/>
      <c r="H6" s="117"/>
      <c r="I6" s="117"/>
    </row>
    <row r="7" spans="1:11" ht="18" customHeight="1" x14ac:dyDescent="0.25">
      <c r="F7" s="117"/>
      <c r="G7" s="117"/>
      <c r="H7" s="117"/>
      <c r="I7" s="117"/>
    </row>
    <row r="8" spans="1:11" ht="18" customHeight="1" x14ac:dyDescent="0.4">
      <c r="A8" s="116" t="s">
        <v>229</v>
      </c>
      <c r="B8" s="216" t="s">
        <v>230</v>
      </c>
      <c r="C8" s="162"/>
      <c r="F8" s="117"/>
      <c r="G8" s="117"/>
      <c r="H8" s="117"/>
      <c r="I8" s="117"/>
    </row>
    <row r="9" spans="1:11" ht="18" customHeight="1" x14ac:dyDescent="0.2">
      <c r="A9" s="107" t="s">
        <v>6</v>
      </c>
      <c r="B9" s="118" t="s">
        <v>183</v>
      </c>
      <c r="C9" s="118" t="s">
        <v>231</v>
      </c>
      <c r="D9" s="42" t="s">
        <v>185</v>
      </c>
      <c r="E9" s="42" t="s">
        <v>186</v>
      </c>
      <c r="F9" s="119"/>
      <c r="G9" s="119"/>
      <c r="H9" s="119"/>
      <c r="I9" s="119"/>
      <c r="J9" s="44" t="s">
        <v>27</v>
      </c>
      <c r="K9" s="44" t="s">
        <v>187</v>
      </c>
    </row>
    <row r="10" spans="1:11" ht="48" customHeight="1" x14ac:dyDescent="0.2">
      <c r="A10" s="120" t="s">
        <v>7</v>
      </c>
      <c r="B10" s="120" t="s">
        <v>29</v>
      </c>
      <c r="C10" s="120" t="s">
        <v>232</v>
      </c>
      <c r="D10" s="120" t="s">
        <v>233</v>
      </c>
      <c r="E10" s="120" t="s">
        <v>234</v>
      </c>
      <c r="F10" s="121" t="s">
        <v>235</v>
      </c>
      <c r="G10" s="121" t="s">
        <v>236</v>
      </c>
      <c r="H10" s="121" t="s">
        <v>237</v>
      </c>
      <c r="I10" s="121" t="s">
        <v>238</v>
      </c>
      <c r="J10" s="120" t="s">
        <v>239</v>
      </c>
      <c r="K10" s="120" t="s">
        <v>7</v>
      </c>
    </row>
    <row r="11" spans="1:11" ht="18" customHeight="1" x14ac:dyDescent="0.25">
      <c r="A11" s="122" t="s">
        <v>240</v>
      </c>
      <c r="B11" s="53" t="s">
        <v>241</v>
      </c>
      <c r="C11" s="53" t="s">
        <v>242</v>
      </c>
      <c r="D11" s="53" t="s">
        <v>243</v>
      </c>
      <c r="E11" s="53" t="s">
        <v>244</v>
      </c>
      <c r="F11" s="123"/>
      <c r="G11" s="123"/>
      <c r="H11" s="123"/>
      <c r="I11" s="123"/>
      <c r="J11" s="124"/>
      <c r="K11" s="124"/>
    </row>
    <row r="12" spans="1:11" ht="18" customHeight="1" x14ac:dyDescent="0.25">
      <c r="A12" s="122" t="s">
        <v>245</v>
      </c>
      <c r="B12" s="53" t="s">
        <v>246</v>
      </c>
      <c r="C12" s="53" t="s">
        <v>247</v>
      </c>
      <c r="D12" s="53" t="s">
        <v>248</v>
      </c>
      <c r="E12" s="53" t="s">
        <v>249</v>
      </c>
      <c r="F12" s="123"/>
      <c r="G12" s="123"/>
      <c r="H12" s="123"/>
      <c r="I12" s="123"/>
      <c r="J12" s="124"/>
      <c r="K12" s="124"/>
    </row>
    <row r="13" spans="1:11" ht="18" customHeight="1" x14ac:dyDescent="0.25">
      <c r="F13" s="117"/>
      <c r="G13" s="117"/>
      <c r="H13" s="117"/>
      <c r="I13" s="117"/>
    </row>
    <row r="14" spans="1:11" ht="18" customHeight="1" x14ac:dyDescent="0.25">
      <c r="F14" s="117"/>
      <c r="G14" s="117"/>
      <c r="H14" s="117"/>
      <c r="I14" s="117"/>
    </row>
    <row r="15" spans="1:11" ht="18" customHeight="1" x14ac:dyDescent="0.4">
      <c r="A15" s="115" t="s">
        <v>250</v>
      </c>
      <c r="B15" s="125" t="s">
        <v>251</v>
      </c>
      <c r="F15" s="117"/>
      <c r="G15" s="117"/>
      <c r="H15" s="117"/>
      <c r="I15" s="117"/>
    </row>
    <row r="16" spans="1:11" ht="18" customHeight="1" x14ac:dyDescent="0.25">
      <c r="F16" s="117"/>
      <c r="G16" s="117"/>
      <c r="H16" s="117"/>
      <c r="I16" s="117"/>
    </row>
    <row r="17" spans="1:9" ht="18" customHeight="1" x14ac:dyDescent="0.25">
      <c r="A17" s="126" t="s">
        <v>252</v>
      </c>
      <c r="B17" s="127" t="s">
        <v>253</v>
      </c>
      <c r="F17" s="117"/>
      <c r="G17" s="117"/>
      <c r="H17" s="117"/>
      <c r="I17" s="117"/>
    </row>
    <row r="18" spans="1:9" ht="18" customHeight="1" x14ac:dyDescent="0.25">
      <c r="A18" s="128" t="s">
        <v>254</v>
      </c>
      <c r="B18" s="129"/>
      <c r="F18" s="117"/>
      <c r="G18" s="117"/>
      <c r="H18" s="117"/>
      <c r="I18" s="117"/>
    </row>
    <row r="19" spans="1:9" ht="18" customHeight="1" x14ac:dyDescent="0.25">
      <c r="F19" s="117"/>
      <c r="G19" s="117"/>
      <c r="H19" s="117"/>
      <c r="I19" s="117"/>
    </row>
    <row r="20" spans="1:9" ht="18" customHeight="1" x14ac:dyDescent="0.25">
      <c r="F20" s="117"/>
      <c r="G20" s="117"/>
      <c r="H20" s="117"/>
      <c r="I20" s="117"/>
    </row>
    <row r="21" spans="1:9" ht="18" customHeight="1" x14ac:dyDescent="0.25">
      <c r="F21" s="117"/>
      <c r="G21" s="117"/>
      <c r="H21" s="117"/>
      <c r="I21" s="117"/>
    </row>
    <row r="22" spans="1:9" ht="18" customHeight="1" x14ac:dyDescent="0.25">
      <c r="F22" s="117"/>
      <c r="G22" s="117"/>
      <c r="H22" s="117"/>
      <c r="I22" s="117"/>
    </row>
    <row r="23" spans="1:9" ht="18" customHeight="1" x14ac:dyDescent="0.25">
      <c r="F23" s="117"/>
      <c r="G23" s="117"/>
      <c r="H23" s="117"/>
      <c r="I23" s="117"/>
    </row>
    <row r="24" spans="1:9" ht="18" customHeight="1" x14ac:dyDescent="0.25">
      <c r="F24" s="117"/>
      <c r="G24" s="117"/>
      <c r="H24" s="117"/>
      <c r="I24" s="117"/>
    </row>
    <row r="25" spans="1:9" ht="18" customHeight="1" x14ac:dyDescent="0.25">
      <c r="F25" s="117"/>
      <c r="G25" s="117"/>
      <c r="H25" s="117"/>
      <c r="I25" s="117"/>
    </row>
    <row r="26" spans="1:9" ht="18" customHeight="1" x14ac:dyDescent="0.25">
      <c r="F26" s="117"/>
      <c r="G26" s="117"/>
      <c r="H26" s="117"/>
      <c r="I26" s="117"/>
    </row>
    <row r="27" spans="1:9" ht="18" customHeight="1" x14ac:dyDescent="0.25">
      <c r="F27" s="117"/>
      <c r="G27" s="117"/>
      <c r="H27" s="117"/>
      <c r="I27" s="117"/>
    </row>
    <row r="28" spans="1:9" ht="18" customHeight="1" x14ac:dyDescent="0.25">
      <c r="F28" s="117"/>
      <c r="G28" s="117"/>
      <c r="H28" s="117"/>
      <c r="I28" s="117"/>
    </row>
    <row r="29" spans="1:9" ht="18" customHeight="1" x14ac:dyDescent="0.25">
      <c r="F29" s="117"/>
      <c r="G29" s="117"/>
      <c r="H29" s="117"/>
      <c r="I29" s="117"/>
    </row>
    <row r="30" spans="1:9" ht="18" customHeight="1" x14ac:dyDescent="0.25">
      <c r="F30" s="117"/>
      <c r="G30" s="117"/>
      <c r="H30" s="117"/>
      <c r="I30" s="117"/>
    </row>
    <row r="31" spans="1:9" ht="18" customHeight="1" x14ac:dyDescent="0.25">
      <c r="F31" s="117"/>
      <c r="G31" s="117"/>
      <c r="H31" s="117"/>
      <c r="I31" s="117"/>
    </row>
    <row r="32" spans="1:9" ht="18" customHeight="1" x14ac:dyDescent="0.25">
      <c r="F32" s="117"/>
      <c r="G32" s="117"/>
      <c r="H32" s="117"/>
      <c r="I32" s="117"/>
    </row>
    <row r="33" spans="6:9" ht="18" customHeight="1" x14ac:dyDescent="0.25">
      <c r="F33" s="117"/>
      <c r="G33" s="117"/>
      <c r="H33" s="117"/>
      <c r="I33" s="117"/>
    </row>
    <row r="34" spans="6:9" ht="18" customHeight="1" x14ac:dyDescent="0.25">
      <c r="F34" s="117"/>
      <c r="G34" s="117"/>
      <c r="H34" s="117"/>
      <c r="I34" s="117"/>
    </row>
    <row r="35" spans="6:9" ht="18" customHeight="1" x14ac:dyDescent="0.25">
      <c r="F35" s="117"/>
      <c r="G35" s="117"/>
      <c r="H35" s="117"/>
      <c r="I35" s="117"/>
    </row>
    <row r="36" spans="6:9" ht="18" customHeight="1" x14ac:dyDescent="0.25">
      <c r="F36" s="117"/>
      <c r="G36" s="117"/>
      <c r="H36" s="117"/>
      <c r="I36" s="117"/>
    </row>
    <row r="37" spans="6:9" ht="18" customHeight="1" x14ac:dyDescent="0.25">
      <c r="F37" s="117"/>
      <c r="G37" s="117"/>
      <c r="H37" s="117"/>
      <c r="I37" s="117"/>
    </row>
    <row r="38" spans="6:9" ht="18" customHeight="1" x14ac:dyDescent="0.25">
      <c r="F38" s="117"/>
      <c r="G38" s="117"/>
      <c r="H38" s="117"/>
      <c r="I38" s="117"/>
    </row>
    <row r="39" spans="6:9" ht="18" customHeight="1" x14ac:dyDescent="0.25">
      <c r="F39" s="117"/>
      <c r="G39" s="117"/>
      <c r="H39" s="117"/>
      <c r="I39" s="117"/>
    </row>
    <row r="40" spans="6:9" ht="18" customHeight="1" x14ac:dyDescent="0.25">
      <c r="F40" s="117"/>
      <c r="G40" s="117"/>
      <c r="H40" s="117"/>
      <c r="I40" s="117"/>
    </row>
    <row r="41" spans="6:9" ht="18" customHeight="1" x14ac:dyDescent="0.25">
      <c r="F41" s="117"/>
      <c r="G41" s="117"/>
      <c r="H41" s="117"/>
      <c r="I41" s="117"/>
    </row>
    <row r="42" spans="6:9" ht="18" customHeight="1" x14ac:dyDescent="0.25">
      <c r="F42" s="117"/>
      <c r="G42" s="117"/>
      <c r="H42" s="117"/>
      <c r="I42" s="117"/>
    </row>
    <row r="43" spans="6:9" ht="18" customHeight="1" x14ac:dyDescent="0.25">
      <c r="F43" s="117"/>
      <c r="G43" s="117"/>
      <c r="H43" s="117"/>
      <c r="I43" s="117"/>
    </row>
    <row r="44" spans="6:9" ht="18" customHeight="1" x14ac:dyDescent="0.25">
      <c r="F44" s="117"/>
      <c r="G44" s="117"/>
      <c r="H44" s="117"/>
      <c r="I44" s="117"/>
    </row>
    <row r="45" spans="6:9" ht="18" customHeight="1" x14ac:dyDescent="0.25">
      <c r="F45" s="117"/>
      <c r="G45" s="117"/>
      <c r="H45" s="117"/>
      <c r="I45" s="117"/>
    </row>
    <row r="46" spans="6:9" ht="18" customHeight="1" x14ac:dyDescent="0.25">
      <c r="F46" s="117"/>
      <c r="G46" s="117"/>
      <c r="H46" s="117"/>
      <c r="I46" s="117"/>
    </row>
    <row r="47" spans="6:9" ht="18" customHeight="1" x14ac:dyDescent="0.25">
      <c r="F47" s="117"/>
      <c r="G47" s="117"/>
      <c r="H47" s="117"/>
      <c r="I47" s="117"/>
    </row>
    <row r="48" spans="6:9" ht="18" customHeight="1" x14ac:dyDescent="0.25">
      <c r="F48" s="117"/>
      <c r="G48" s="117"/>
      <c r="H48" s="117"/>
      <c r="I48" s="117"/>
    </row>
    <row r="49" spans="6:9" ht="18" customHeight="1" x14ac:dyDescent="0.25">
      <c r="F49" s="117"/>
      <c r="G49" s="117"/>
      <c r="H49" s="117"/>
      <c r="I49" s="117"/>
    </row>
    <row r="50" spans="6:9" ht="18" customHeight="1" x14ac:dyDescent="0.25">
      <c r="F50" s="117"/>
      <c r="G50" s="117"/>
      <c r="H50" s="117"/>
      <c r="I50" s="117"/>
    </row>
    <row r="51" spans="6:9" ht="18" customHeight="1" x14ac:dyDescent="0.25">
      <c r="F51" s="117"/>
      <c r="G51" s="117"/>
      <c r="H51" s="117"/>
      <c r="I51" s="117"/>
    </row>
    <row r="52" spans="6:9" ht="18" customHeight="1" x14ac:dyDescent="0.25">
      <c r="F52" s="117"/>
      <c r="G52" s="117"/>
      <c r="H52" s="117"/>
      <c r="I52" s="117"/>
    </row>
    <row r="53" spans="6:9" ht="18" customHeight="1" x14ac:dyDescent="0.25">
      <c r="F53" s="117"/>
      <c r="G53" s="117"/>
      <c r="H53" s="117"/>
      <c r="I53" s="117"/>
    </row>
    <row r="54" spans="6:9" ht="18" customHeight="1" x14ac:dyDescent="0.25">
      <c r="F54" s="117"/>
      <c r="G54" s="117"/>
      <c r="H54" s="117"/>
      <c r="I54" s="117"/>
    </row>
    <row r="55" spans="6:9" ht="18" customHeight="1" x14ac:dyDescent="0.25">
      <c r="F55" s="117"/>
      <c r="G55" s="117"/>
      <c r="H55" s="117"/>
      <c r="I55" s="117"/>
    </row>
    <row r="56" spans="6:9" ht="18" customHeight="1" x14ac:dyDescent="0.25">
      <c r="F56" s="117"/>
      <c r="G56" s="117"/>
      <c r="H56" s="117"/>
      <c r="I56" s="117"/>
    </row>
    <row r="57" spans="6:9" ht="18" customHeight="1" x14ac:dyDescent="0.25">
      <c r="F57" s="117"/>
      <c r="G57" s="117"/>
      <c r="H57" s="117"/>
      <c r="I57" s="117"/>
    </row>
    <row r="58" spans="6:9" ht="18" customHeight="1" x14ac:dyDescent="0.25">
      <c r="F58" s="117"/>
      <c r="G58" s="117"/>
      <c r="H58" s="117"/>
      <c r="I58" s="117"/>
    </row>
    <row r="59" spans="6:9" ht="18" customHeight="1" x14ac:dyDescent="0.25">
      <c r="F59" s="117"/>
      <c r="G59" s="117"/>
      <c r="H59" s="117"/>
      <c r="I59" s="117"/>
    </row>
    <row r="60" spans="6:9" ht="18" customHeight="1" x14ac:dyDescent="0.25">
      <c r="F60" s="117"/>
      <c r="G60" s="117"/>
      <c r="H60" s="117"/>
      <c r="I60" s="117"/>
    </row>
    <row r="61" spans="6:9" ht="18" customHeight="1" x14ac:dyDescent="0.25">
      <c r="F61" s="117"/>
      <c r="G61" s="117"/>
      <c r="H61" s="117"/>
      <c r="I61" s="117"/>
    </row>
    <row r="62" spans="6:9" ht="18" customHeight="1" x14ac:dyDescent="0.25">
      <c r="F62" s="117"/>
      <c r="G62" s="117"/>
      <c r="H62" s="117"/>
      <c r="I62" s="117"/>
    </row>
    <row r="63" spans="6:9" ht="18" customHeight="1" x14ac:dyDescent="0.25">
      <c r="F63" s="117"/>
      <c r="G63" s="117"/>
      <c r="H63" s="117"/>
      <c r="I63" s="117"/>
    </row>
    <row r="64" spans="6:9" ht="18" customHeight="1" x14ac:dyDescent="0.25">
      <c r="F64" s="117"/>
      <c r="G64" s="117"/>
      <c r="H64" s="117"/>
      <c r="I64" s="117"/>
    </row>
    <row r="65" spans="6:9" ht="18" customHeight="1" x14ac:dyDescent="0.25">
      <c r="F65" s="117"/>
      <c r="G65" s="117"/>
      <c r="H65" s="117"/>
      <c r="I65" s="117"/>
    </row>
    <row r="66" spans="6:9" ht="18" customHeight="1" x14ac:dyDescent="0.25">
      <c r="F66" s="117"/>
      <c r="G66" s="117"/>
      <c r="H66" s="117"/>
      <c r="I66" s="117"/>
    </row>
    <row r="67" spans="6:9" ht="18" customHeight="1" x14ac:dyDescent="0.25">
      <c r="F67" s="117"/>
      <c r="G67" s="117"/>
      <c r="H67" s="117"/>
      <c r="I67" s="117"/>
    </row>
    <row r="68" spans="6:9" ht="18" customHeight="1" x14ac:dyDescent="0.25">
      <c r="F68" s="117"/>
      <c r="G68" s="117"/>
      <c r="H68" s="117"/>
      <c r="I68" s="117"/>
    </row>
    <row r="69" spans="6:9" ht="18" customHeight="1" x14ac:dyDescent="0.25">
      <c r="F69" s="117"/>
      <c r="G69" s="117"/>
      <c r="H69" s="117"/>
      <c r="I69" s="117"/>
    </row>
    <row r="70" spans="6:9" ht="18" customHeight="1" x14ac:dyDescent="0.25">
      <c r="F70" s="117"/>
      <c r="G70" s="117"/>
      <c r="H70" s="117"/>
      <c r="I70" s="117"/>
    </row>
    <row r="71" spans="6:9" ht="18" customHeight="1" x14ac:dyDescent="0.25">
      <c r="F71" s="117"/>
      <c r="G71" s="117"/>
      <c r="H71" s="117"/>
      <c r="I71" s="117"/>
    </row>
    <row r="72" spans="6:9" ht="18" customHeight="1" x14ac:dyDescent="0.25">
      <c r="F72" s="117"/>
      <c r="G72" s="117"/>
      <c r="H72" s="117"/>
      <c r="I72" s="117"/>
    </row>
    <row r="73" spans="6:9" ht="18" customHeight="1" x14ac:dyDescent="0.25">
      <c r="F73" s="117"/>
      <c r="G73" s="117"/>
      <c r="H73" s="117"/>
      <c r="I73" s="117"/>
    </row>
    <row r="74" spans="6:9" ht="18" customHeight="1" x14ac:dyDescent="0.25">
      <c r="F74" s="117"/>
      <c r="G74" s="117"/>
      <c r="H74" s="117"/>
      <c r="I74" s="117"/>
    </row>
    <row r="75" spans="6:9" ht="18" customHeight="1" x14ac:dyDescent="0.25">
      <c r="F75" s="117"/>
      <c r="G75" s="117"/>
      <c r="H75" s="117"/>
      <c r="I75" s="117"/>
    </row>
    <row r="76" spans="6:9" ht="18" customHeight="1" x14ac:dyDescent="0.25">
      <c r="F76" s="117"/>
      <c r="G76" s="117"/>
      <c r="H76" s="117"/>
      <c r="I76" s="117"/>
    </row>
    <row r="77" spans="6:9" ht="18" customHeight="1" x14ac:dyDescent="0.25">
      <c r="F77" s="117"/>
      <c r="G77" s="117"/>
      <c r="H77" s="117"/>
      <c r="I77" s="117"/>
    </row>
    <row r="78" spans="6:9" ht="18" customHeight="1" x14ac:dyDescent="0.25">
      <c r="F78" s="117"/>
      <c r="G78" s="117"/>
      <c r="H78" s="117"/>
      <c r="I78" s="117"/>
    </row>
    <row r="79" spans="6:9" ht="18" customHeight="1" x14ac:dyDescent="0.25">
      <c r="F79" s="117"/>
      <c r="G79" s="117"/>
      <c r="H79" s="117"/>
      <c r="I79" s="117"/>
    </row>
    <row r="80" spans="6:9" ht="18" customHeight="1" x14ac:dyDescent="0.25">
      <c r="F80" s="117"/>
      <c r="G80" s="117"/>
      <c r="H80" s="117"/>
      <c r="I80" s="117"/>
    </row>
    <row r="81" spans="6:9" ht="18" customHeight="1" x14ac:dyDescent="0.25">
      <c r="F81" s="117"/>
      <c r="G81" s="117"/>
      <c r="H81" s="117"/>
      <c r="I81" s="117"/>
    </row>
    <row r="82" spans="6:9" ht="18" customHeight="1" x14ac:dyDescent="0.25">
      <c r="F82" s="117"/>
      <c r="G82" s="117"/>
      <c r="H82" s="117"/>
      <c r="I82" s="117"/>
    </row>
    <row r="83" spans="6:9" ht="18" customHeight="1" x14ac:dyDescent="0.25">
      <c r="F83" s="117"/>
      <c r="G83" s="117"/>
      <c r="H83" s="117"/>
      <c r="I83" s="117"/>
    </row>
    <row r="84" spans="6:9" ht="18" customHeight="1" x14ac:dyDescent="0.25">
      <c r="F84" s="117"/>
      <c r="G84" s="117"/>
      <c r="H84" s="117"/>
      <c r="I84" s="117"/>
    </row>
    <row r="85" spans="6:9" ht="18" customHeight="1" x14ac:dyDescent="0.25">
      <c r="F85" s="117"/>
      <c r="G85" s="117"/>
      <c r="H85" s="117"/>
      <c r="I85" s="117"/>
    </row>
    <row r="86" spans="6:9" ht="18" customHeight="1" x14ac:dyDescent="0.25">
      <c r="F86" s="117"/>
      <c r="G86" s="117"/>
      <c r="H86" s="117"/>
      <c r="I86" s="117"/>
    </row>
    <row r="87" spans="6:9" ht="18" customHeight="1" x14ac:dyDescent="0.25">
      <c r="F87" s="117"/>
      <c r="G87" s="117"/>
      <c r="H87" s="117"/>
      <c r="I87" s="117"/>
    </row>
    <row r="88" spans="6:9" ht="18" customHeight="1" x14ac:dyDescent="0.25">
      <c r="F88" s="117"/>
      <c r="G88" s="117"/>
      <c r="H88" s="117"/>
      <c r="I88" s="117"/>
    </row>
    <row r="89" spans="6:9" ht="18" customHeight="1" x14ac:dyDescent="0.25">
      <c r="F89" s="117"/>
      <c r="G89" s="117"/>
      <c r="H89" s="117"/>
      <c r="I89" s="117"/>
    </row>
    <row r="90" spans="6:9" ht="18" customHeight="1" x14ac:dyDescent="0.25">
      <c r="F90" s="117"/>
      <c r="G90" s="117"/>
      <c r="H90" s="117"/>
      <c r="I90" s="117"/>
    </row>
    <row r="91" spans="6:9" ht="18" customHeight="1" x14ac:dyDescent="0.25">
      <c r="F91" s="117"/>
      <c r="G91" s="117"/>
      <c r="H91" s="117"/>
      <c r="I91" s="117"/>
    </row>
    <row r="92" spans="6:9" ht="18" customHeight="1" x14ac:dyDescent="0.25">
      <c r="F92" s="117"/>
      <c r="G92" s="117"/>
      <c r="H92" s="117"/>
      <c r="I92" s="117"/>
    </row>
    <row r="93" spans="6:9" ht="18" customHeight="1" x14ac:dyDescent="0.25">
      <c r="F93" s="117"/>
      <c r="G93" s="117"/>
      <c r="H93" s="117"/>
      <c r="I93" s="117"/>
    </row>
    <row r="94" spans="6:9" ht="18" customHeight="1" x14ac:dyDescent="0.25">
      <c r="F94" s="117"/>
      <c r="G94" s="117"/>
      <c r="H94" s="117"/>
      <c r="I94" s="117"/>
    </row>
    <row r="95" spans="6:9" ht="18" customHeight="1" x14ac:dyDescent="0.25">
      <c r="F95" s="117"/>
      <c r="G95" s="117"/>
      <c r="H95" s="117"/>
      <c r="I95" s="117"/>
    </row>
    <row r="96" spans="6:9" ht="18" customHeight="1" x14ac:dyDescent="0.25">
      <c r="F96" s="117"/>
      <c r="G96" s="117"/>
      <c r="H96" s="117"/>
      <c r="I96" s="117"/>
    </row>
    <row r="97" spans="6:9" ht="18" customHeight="1" x14ac:dyDescent="0.25">
      <c r="F97" s="117"/>
      <c r="G97" s="117"/>
      <c r="H97" s="117"/>
      <c r="I97" s="117"/>
    </row>
    <row r="98" spans="6:9" ht="18" customHeight="1" x14ac:dyDescent="0.25">
      <c r="F98" s="117"/>
      <c r="G98" s="117"/>
      <c r="H98" s="117"/>
      <c r="I98" s="117"/>
    </row>
    <row r="99" spans="6:9" ht="18" customHeight="1" x14ac:dyDescent="0.25">
      <c r="F99" s="117"/>
      <c r="G99" s="117"/>
      <c r="H99" s="117"/>
      <c r="I99" s="117"/>
    </row>
    <row r="100" spans="6:9" ht="18" customHeight="1" x14ac:dyDescent="0.25">
      <c r="F100" s="117"/>
      <c r="G100" s="117"/>
      <c r="H100" s="117"/>
      <c r="I100" s="117"/>
    </row>
    <row r="101" spans="6:9" ht="18" customHeight="1" x14ac:dyDescent="0.25">
      <c r="F101" s="117"/>
      <c r="G101" s="117"/>
      <c r="H101" s="117"/>
      <c r="I101" s="117"/>
    </row>
    <row r="102" spans="6:9" ht="18" customHeight="1" x14ac:dyDescent="0.25">
      <c r="F102" s="117"/>
      <c r="G102" s="117"/>
      <c r="H102" s="117"/>
      <c r="I102" s="117"/>
    </row>
    <row r="103" spans="6:9" ht="18" customHeight="1" x14ac:dyDescent="0.25">
      <c r="F103" s="117"/>
      <c r="G103" s="117"/>
      <c r="H103" s="117"/>
      <c r="I103" s="117"/>
    </row>
    <row r="104" spans="6:9" ht="18" customHeight="1" x14ac:dyDescent="0.25">
      <c r="F104" s="117"/>
      <c r="G104" s="117"/>
      <c r="H104" s="117"/>
      <c r="I104" s="117"/>
    </row>
    <row r="105" spans="6:9" ht="18" customHeight="1" x14ac:dyDescent="0.25">
      <c r="F105" s="117"/>
      <c r="G105" s="117"/>
      <c r="H105" s="117"/>
      <c r="I105" s="117"/>
    </row>
    <row r="106" spans="6:9" ht="18" customHeight="1" x14ac:dyDescent="0.25">
      <c r="F106" s="117"/>
      <c r="G106" s="117"/>
      <c r="H106" s="117"/>
      <c r="I106" s="117"/>
    </row>
    <row r="107" spans="6:9" ht="18" customHeight="1" x14ac:dyDescent="0.25">
      <c r="F107" s="117"/>
      <c r="G107" s="117"/>
      <c r="H107" s="117"/>
      <c r="I107" s="117"/>
    </row>
    <row r="108" spans="6:9" ht="18" customHeight="1" x14ac:dyDescent="0.25">
      <c r="F108" s="117"/>
      <c r="G108" s="117"/>
      <c r="H108" s="117"/>
      <c r="I108" s="117"/>
    </row>
    <row r="109" spans="6:9" ht="18" customHeight="1" x14ac:dyDescent="0.25">
      <c r="F109" s="117"/>
      <c r="G109" s="117"/>
      <c r="H109" s="117"/>
      <c r="I109" s="117"/>
    </row>
    <row r="110" spans="6:9" ht="18" customHeight="1" x14ac:dyDescent="0.25">
      <c r="F110" s="117"/>
      <c r="G110" s="117"/>
      <c r="H110" s="117"/>
      <c r="I110" s="117"/>
    </row>
    <row r="111" spans="6:9" ht="18" customHeight="1" x14ac:dyDescent="0.25">
      <c r="F111" s="117"/>
      <c r="G111" s="117"/>
      <c r="H111" s="117"/>
      <c r="I111" s="117"/>
    </row>
    <row r="112" spans="6:9" ht="18" customHeight="1" x14ac:dyDescent="0.25">
      <c r="F112" s="117"/>
      <c r="G112" s="117"/>
      <c r="H112" s="117"/>
      <c r="I112" s="117"/>
    </row>
    <row r="113" spans="6:9" ht="18" customHeight="1" x14ac:dyDescent="0.25">
      <c r="F113" s="117"/>
      <c r="G113" s="117"/>
      <c r="H113" s="117"/>
      <c r="I113" s="117"/>
    </row>
    <row r="114" spans="6:9" ht="18" customHeight="1" x14ac:dyDescent="0.25">
      <c r="F114" s="117"/>
      <c r="G114" s="117"/>
      <c r="H114" s="117"/>
      <c r="I114" s="117"/>
    </row>
    <row r="115" spans="6:9" ht="18" customHeight="1" x14ac:dyDescent="0.25">
      <c r="F115" s="117"/>
      <c r="G115" s="117"/>
      <c r="H115" s="117"/>
      <c r="I115" s="117"/>
    </row>
    <row r="116" spans="6:9" ht="18" customHeight="1" x14ac:dyDescent="0.25">
      <c r="F116" s="117"/>
      <c r="G116" s="117"/>
      <c r="H116" s="117"/>
      <c r="I116" s="117"/>
    </row>
    <row r="117" spans="6:9" ht="18" customHeight="1" x14ac:dyDescent="0.25">
      <c r="F117" s="117"/>
      <c r="G117" s="117"/>
      <c r="H117" s="117"/>
      <c r="I117" s="117"/>
    </row>
    <row r="118" spans="6:9" ht="18" customHeight="1" x14ac:dyDescent="0.25">
      <c r="F118" s="117"/>
      <c r="G118" s="117"/>
      <c r="H118" s="117"/>
      <c r="I118" s="117"/>
    </row>
    <row r="119" spans="6:9" ht="18" customHeight="1" x14ac:dyDescent="0.25">
      <c r="F119" s="117"/>
      <c r="G119" s="117"/>
      <c r="H119" s="117"/>
      <c r="I119" s="117"/>
    </row>
    <row r="120" spans="6:9" ht="18" customHeight="1" x14ac:dyDescent="0.25">
      <c r="F120" s="117"/>
      <c r="G120" s="117"/>
      <c r="H120" s="117"/>
      <c r="I120" s="117"/>
    </row>
    <row r="121" spans="6:9" ht="18" customHeight="1" x14ac:dyDescent="0.25">
      <c r="F121" s="117"/>
      <c r="G121" s="117"/>
      <c r="H121" s="117"/>
      <c r="I121" s="117"/>
    </row>
    <row r="122" spans="6:9" ht="18" customHeight="1" x14ac:dyDescent="0.25">
      <c r="F122" s="117"/>
      <c r="G122" s="117"/>
      <c r="H122" s="117"/>
      <c r="I122" s="117"/>
    </row>
    <row r="123" spans="6:9" ht="18" customHeight="1" x14ac:dyDescent="0.25">
      <c r="F123" s="117"/>
      <c r="G123" s="117"/>
      <c r="H123" s="117"/>
      <c r="I123" s="117"/>
    </row>
    <row r="124" spans="6:9" ht="18" customHeight="1" x14ac:dyDescent="0.25">
      <c r="F124" s="117"/>
      <c r="G124" s="117"/>
      <c r="H124" s="117"/>
      <c r="I124" s="117"/>
    </row>
    <row r="125" spans="6:9" ht="18" customHeight="1" x14ac:dyDescent="0.25">
      <c r="F125" s="117"/>
      <c r="G125" s="117"/>
      <c r="H125" s="117"/>
      <c r="I125" s="117"/>
    </row>
    <row r="126" spans="6:9" ht="18" customHeight="1" x14ac:dyDescent="0.25">
      <c r="F126" s="117"/>
      <c r="G126" s="117"/>
      <c r="H126" s="117"/>
      <c r="I126" s="117"/>
    </row>
    <row r="127" spans="6:9" ht="18" customHeight="1" x14ac:dyDescent="0.25">
      <c r="F127" s="117"/>
      <c r="G127" s="117"/>
      <c r="H127" s="117"/>
      <c r="I127" s="117"/>
    </row>
    <row r="128" spans="6:9" ht="18" customHeight="1" x14ac:dyDescent="0.25">
      <c r="F128" s="117"/>
      <c r="G128" s="117"/>
      <c r="H128" s="117"/>
      <c r="I128" s="117"/>
    </row>
    <row r="129" spans="6:9" ht="18" customHeight="1" x14ac:dyDescent="0.25">
      <c r="F129" s="117"/>
      <c r="G129" s="117"/>
      <c r="H129" s="117"/>
      <c r="I129" s="117"/>
    </row>
    <row r="130" spans="6:9" ht="18" customHeight="1" x14ac:dyDescent="0.25">
      <c r="F130" s="117"/>
      <c r="G130" s="117"/>
      <c r="H130" s="117"/>
      <c r="I130" s="117"/>
    </row>
    <row r="131" spans="6:9" ht="18" customHeight="1" x14ac:dyDescent="0.25">
      <c r="F131" s="117"/>
      <c r="G131" s="117"/>
      <c r="H131" s="117"/>
      <c r="I131" s="117"/>
    </row>
    <row r="132" spans="6:9" ht="18" customHeight="1" x14ac:dyDescent="0.25">
      <c r="F132" s="117"/>
      <c r="G132" s="117"/>
      <c r="H132" s="117"/>
      <c r="I132" s="117"/>
    </row>
    <row r="133" spans="6:9" ht="18" customHeight="1" x14ac:dyDescent="0.25">
      <c r="F133" s="117"/>
      <c r="G133" s="117"/>
      <c r="H133" s="117"/>
      <c r="I133" s="117"/>
    </row>
    <row r="134" spans="6:9" ht="18" customHeight="1" x14ac:dyDescent="0.25">
      <c r="F134" s="117"/>
      <c r="G134" s="117"/>
      <c r="H134" s="117"/>
      <c r="I134" s="117"/>
    </row>
    <row r="135" spans="6:9" ht="18" customHeight="1" x14ac:dyDescent="0.25">
      <c r="F135" s="117"/>
      <c r="G135" s="117"/>
      <c r="H135" s="117"/>
      <c r="I135" s="117"/>
    </row>
    <row r="136" spans="6:9" ht="18" customHeight="1" x14ac:dyDescent="0.25">
      <c r="F136" s="117"/>
      <c r="G136" s="117"/>
      <c r="H136" s="117"/>
      <c r="I136" s="117"/>
    </row>
    <row r="137" spans="6:9" ht="18" customHeight="1" x14ac:dyDescent="0.25">
      <c r="F137" s="117"/>
      <c r="G137" s="117"/>
      <c r="H137" s="117"/>
      <c r="I137" s="117"/>
    </row>
    <row r="138" spans="6:9" ht="18" customHeight="1" x14ac:dyDescent="0.25">
      <c r="F138" s="117"/>
      <c r="G138" s="117"/>
      <c r="H138" s="117"/>
      <c r="I138" s="117"/>
    </row>
    <row r="139" spans="6:9" ht="18" customHeight="1" x14ac:dyDescent="0.25">
      <c r="F139" s="117"/>
      <c r="G139" s="117"/>
      <c r="H139" s="117"/>
      <c r="I139" s="117"/>
    </row>
    <row r="140" spans="6:9" ht="18" customHeight="1" x14ac:dyDescent="0.25">
      <c r="F140" s="117"/>
      <c r="G140" s="117"/>
      <c r="H140" s="117"/>
      <c r="I140" s="117"/>
    </row>
    <row r="141" spans="6:9" ht="18" customHeight="1" x14ac:dyDescent="0.25">
      <c r="F141" s="117"/>
      <c r="G141" s="117"/>
      <c r="H141" s="117"/>
      <c r="I141" s="117"/>
    </row>
    <row r="142" spans="6:9" ht="18" customHeight="1" x14ac:dyDescent="0.25">
      <c r="F142" s="117"/>
      <c r="G142" s="117"/>
      <c r="H142" s="117"/>
      <c r="I142" s="117"/>
    </row>
    <row r="143" spans="6:9" ht="18" customHeight="1" x14ac:dyDescent="0.25">
      <c r="F143" s="117"/>
      <c r="G143" s="117"/>
      <c r="H143" s="117"/>
      <c r="I143" s="117"/>
    </row>
    <row r="144" spans="6:9" ht="18" customHeight="1" x14ac:dyDescent="0.25">
      <c r="F144" s="117"/>
      <c r="G144" s="117"/>
      <c r="H144" s="117"/>
      <c r="I144" s="117"/>
    </row>
    <row r="145" spans="6:9" ht="18" customHeight="1" x14ac:dyDescent="0.25">
      <c r="F145" s="117"/>
      <c r="G145" s="117"/>
      <c r="H145" s="117"/>
      <c r="I145" s="117"/>
    </row>
    <row r="146" spans="6:9" ht="18" customHeight="1" x14ac:dyDescent="0.25">
      <c r="F146" s="117"/>
      <c r="G146" s="117"/>
      <c r="H146" s="117"/>
      <c r="I146" s="117"/>
    </row>
    <row r="147" spans="6:9" ht="18" customHeight="1" x14ac:dyDescent="0.25">
      <c r="F147" s="117"/>
      <c r="G147" s="117"/>
      <c r="H147" s="117"/>
      <c r="I147" s="117"/>
    </row>
    <row r="148" spans="6:9" ht="18" customHeight="1" x14ac:dyDescent="0.25">
      <c r="F148" s="117"/>
      <c r="G148" s="117"/>
      <c r="H148" s="117"/>
      <c r="I148" s="117"/>
    </row>
    <row r="149" spans="6:9" ht="18" customHeight="1" x14ac:dyDescent="0.25">
      <c r="F149" s="117"/>
      <c r="G149" s="117"/>
      <c r="H149" s="117"/>
      <c r="I149" s="117"/>
    </row>
    <row r="150" spans="6:9" ht="18" customHeight="1" x14ac:dyDescent="0.25">
      <c r="F150" s="117"/>
      <c r="G150" s="117"/>
      <c r="H150" s="117"/>
      <c r="I150" s="117"/>
    </row>
    <row r="151" spans="6:9" ht="18" customHeight="1" x14ac:dyDescent="0.25">
      <c r="F151" s="117"/>
      <c r="G151" s="117"/>
      <c r="H151" s="117"/>
      <c r="I151" s="117"/>
    </row>
    <row r="152" spans="6:9" ht="18" customHeight="1" x14ac:dyDescent="0.25">
      <c r="F152" s="117"/>
      <c r="G152" s="117"/>
      <c r="H152" s="117"/>
      <c r="I152" s="117"/>
    </row>
    <row r="153" spans="6:9" ht="18" customHeight="1" x14ac:dyDescent="0.25">
      <c r="F153" s="117"/>
      <c r="G153" s="117"/>
      <c r="H153" s="117"/>
      <c r="I153" s="117"/>
    </row>
    <row r="154" spans="6:9" ht="18" customHeight="1" x14ac:dyDescent="0.25">
      <c r="F154" s="117"/>
      <c r="G154" s="117"/>
      <c r="H154" s="117"/>
      <c r="I154" s="117"/>
    </row>
    <row r="155" spans="6:9" ht="18" customHeight="1" x14ac:dyDescent="0.25">
      <c r="F155" s="117"/>
      <c r="G155" s="117"/>
      <c r="H155" s="117"/>
      <c r="I155" s="117"/>
    </row>
    <row r="156" spans="6:9" ht="18" customHeight="1" x14ac:dyDescent="0.25">
      <c r="F156" s="117"/>
      <c r="G156" s="117"/>
      <c r="H156" s="117"/>
      <c r="I156" s="117"/>
    </row>
    <row r="157" spans="6:9" ht="18" customHeight="1" x14ac:dyDescent="0.25">
      <c r="F157" s="117"/>
      <c r="G157" s="117"/>
      <c r="H157" s="117"/>
      <c r="I157" s="117"/>
    </row>
    <row r="158" spans="6:9" ht="18" customHeight="1" x14ac:dyDescent="0.25">
      <c r="F158" s="117"/>
      <c r="G158" s="117"/>
      <c r="H158" s="117"/>
      <c r="I158" s="117"/>
    </row>
    <row r="159" spans="6:9" ht="18" customHeight="1" x14ac:dyDescent="0.25">
      <c r="F159" s="117"/>
      <c r="G159" s="117"/>
      <c r="H159" s="117"/>
      <c r="I159" s="117"/>
    </row>
    <row r="160" spans="6:9" ht="18" customHeight="1" x14ac:dyDescent="0.25">
      <c r="F160" s="117"/>
      <c r="G160" s="117"/>
      <c r="H160" s="117"/>
      <c r="I160" s="117"/>
    </row>
    <row r="161" spans="6:9" ht="18" customHeight="1" x14ac:dyDescent="0.25">
      <c r="F161" s="117"/>
      <c r="G161" s="117"/>
      <c r="H161" s="117"/>
      <c r="I161" s="117"/>
    </row>
    <row r="162" spans="6:9" ht="18" customHeight="1" x14ac:dyDescent="0.25">
      <c r="F162" s="117"/>
      <c r="G162" s="117"/>
      <c r="H162" s="117"/>
      <c r="I162" s="117"/>
    </row>
    <row r="163" spans="6:9" ht="18" customHeight="1" x14ac:dyDescent="0.25">
      <c r="F163" s="117"/>
      <c r="G163" s="117"/>
      <c r="H163" s="117"/>
      <c r="I163" s="117"/>
    </row>
    <row r="164" spans="6:9" ht="18" customHeight="1" x14ac:dyDescent="0.25">
      <c r="F164" s="117"/>
      <c r="G164" s="117"/>
      <c r="H164" s="117"/>
      <c r="I164" s="117"/>
    </row>
    <row r="165" spans="6:9" ht="18" customHeight="1" x14ac:dyDescent="0.25">
      <c r="F165" s="117"/>
      <c r="G165" s="117"/>
      <c r="H165" s="117"/>
      <c r="I165" s="117"/>
    </row>
    <row r="166" spans="6:9" ht="18" customHeight="1" x14ac:dyDescent="0.25">
      <c r="F166" s="117"/>
      <c r="G166" s="117"/>
      <c r="H166" s="117"/>
      <c r="I166" s="117"/>
    </row>
    <row r="167" spans="6:9" ht="18" customHeight="1" x14ac:dyDescent="0.25">
      <c r="F167" s="117"/>
      <c r="G167" s="117"/>
      <c r="H167" s="117"/>
      <c r="I167" s="117"/>
    </row>
    <row r="168" spans="6:9" ht="18" customHeight="1" x14ac:dyDescent="0.25">
      <c r="F168" s="117"/>
      <c r="G168" s="117"/>
      <c r="H168" s="117"/>
      <c r="I168" s="117"/>
    </row>
    <row r="169" spans="6:9" ht="18" customHeight="1" x14ac:dyDescent="0.25">
      <c r="F169" s="117"/>
      <c r="G169" s="117"/>
      <c r="H169" s="117"/>
      <c r="I169" s="117"/>
    </row>
    <row r="170" spans="6:9" ht="18" customHeight="1" x14ac:dyDescent="0.25">
      <c r="F170" s="117"/>
      <c r="G170" s="117"/>
      <c r="H170" s="117"/>
      <c r="I170" s="117"/>
    </row>
    <row r="171" spans="6:9" ht="18" customHeight="1" x14ac:dyDescent="0.25">
      <c r="F171" s="117"/>
      <c r="G171" s="117"/>
      <c r="H171" s="117"/>
      <c r="I171" s="117"/>
    </row>
    <row r="172" spans="6:9" ht="18" customHeight="1" x14ac:dyDescent="0.25">
      <c r="F172" s="117"/>
      <c r="G172" s="117"/>
      <c r="H172" s="117"/>
      <c r="I172" s="117"/>
    </row>
    <row r="173" spans="6:9" ht="18" customHeight="1" x14ac:dyDescent="0.25">
      <c r="F173" s="117"/>
      <c r="G173" s="117"/>
      <c r="H173" s="117"/>
      <c r="I173" s="117"/>
    </row>
    <row r="174" spans="6:9" ht="18" customHeight="1" x14ac:dyDescent="0.25">
      <c r="F174" s="117"/>
      <c r="G174" s="117"/>
      <c r="H174" s="117"/>
      <c r="I174" s="117"/>
    </row>
    <row r="175" spans="6:9" ht="18" customHeight="1" x14ac:dyDescent="0.25">
      <c r="F175" s="117"/>
      <c r="G175" s="117"/>
      <c r="H175" s="117"/>
      <c r="I175" s="117"/>
    </row>
    <row r="176" spans="6:9" ht="18" customHeight="1" x14ac:dyDescent="0.25">
      <c r="F176" s="117"/>
      <c r="G176" s="117"/>
      <c r="H176" s="117"/>
      <c r="I176" s="117"/>
    </row>
    <row r="177" spans="6:9" ht="18" customHeight="1" x14ac:dyDescent="0.25">
      <c r="F177" s="117"/>
      <c r="G177" s="117"/>
      <c r="H177" s="117"/>
      <c r="I177" s="117"/>
    </row>
    <row r="178" spans="6:9" ht="18" customHeight="1" x14ac:dyDescent="0.25">
      <c r="F178" s="117"/>
      <c r="G178" s="117"/>
      <c r="H178" s="117"/>
      <c r="I178" s="117"/>
    </row>
    <row r="179" spans="6:9" ht="18" customHeight="1" x14ac:dyDescent="0.25">
      <c r="F179" s="117"/>
      <c r="G179" s="117"/>
      <c r="H179" s="117"/>
      <c r="I179" s="117"/>
    </row>
    <row r="180" spans="6:9" ht="18" customHeight="1" x14ac:dyDescent="0.25">
      <c r="F180" s="117"/>
      <c r="G180" s="117"/>
      <c r="H180" s="117"/>
      <c r="I180" s="117"/>
    </row>
    <row r="181" spans="6:9" ht="18" customHeight="1" x14ac:dyDescent="0.25">
      <c r="F181" s="117"/>
      <c r="G181" s="117"/>
      <c r="H181" s="117"/>
      <c r="I181" s="117"/>
    </row>
    <row r="182" spans="6:9" ht="18" customHeight="1" x14ac:dyDescent="0.25">
      <c r="F182" s="117"/>
      <c r="G182" s="117"/>
      <c r="H182" s="117"/>
      <c r="I182" s="117"/>
    </row>
    <row r="183" spans="6:9" ht="18" customHeight="1" x14ac:dyDescent="0.25">
      <c r="F183" s="117"/>
      <c r="G183" s="117"/>
      <c r="H183" s="117"/>
      <c r="I183" s="117"/>
    </row>
    <row r="184" spans="6:9" ht="18" customHeight="1" x14ac:dyDescent="0.25">
      <c r="F184" s="117"/>
      <c r="G184" s="117"/>
      <c r="H184" s="117"/>
      <c r="I184" s="117"/>
    </row>
    <row r="185" spans="6:9" ht="18" customHeight="1" x14ac:dyDescent="0.25">
      <c r="F185" s="117"/>
      <c r="G185" s="117"/>
      <c r="H185" s="117"/>
      <c r="I185" s="117"/>
    </row>
    <row r="186" spans="6:9" ht="18" customHeight="1" x14ac:dyDescent="0.25">
      <c r="F186" s="117"/>
      <c r="G186" s="117"/>
      <c r="H186" s="117"/>
      <c r="I186" s="117"/>
    </row>
    <row r="187" spans="6:9" ht="18" customHeight="1" x14ac:dyDescent="0.25">
      <c r="F187" s="117"/>
      <c r="G187" s="117"/>
      <c r="H187" s="117"/>
      <c r="I187" s="117"/>
    </row>
    <row r="188" spans="6:9" ht="18" customHeight="1" x14ac:dyDescent="0.25">
      <c r="F188" s="117"/>
      <c r="G188" s="117"/>
      <c r="H188" s="117"/>
      <c r="I188" s="117"/>
    </row>
    <row r="189" spans="6:9" ht="18" customHeight="1" x14ac:dyDescent="0.25">
      <c r="F189" s="117"/>
      <c r="G189" s="117"/>
      <c r="H189" s="117"/>
      <c r="I189" s="117"/>
    </row>
    <row r="190" spans="6:9" ht="18" customHeight="1" x14ac:dyDescent="0.25">
      <c r="F190" s="117"/>
      <c r="G190" s="117"/>
      <c r="H190" s="117"/>
      <c r="I190" s="117"/>
    </row>
    <row r="191" spans="6:9" ht="18" customHeight="1" x14ac:dyDescent="0.25">
      <c r="F191" s="117"/>
      <c r="G191" s="117"/>
      <c r="H191" s="117"/>
      <c r="I191" s="117"/>
    </row>
    <row r="192" spans="6:9" ht="18" customHeight="1" x14ac:dyDescent="0.25">
      <c r="F192" s="117"/>
      <c r="G192" s="117"/>
      <c r="H192" s="117"/>
      <c r="I192" s="117"/>
    </row>
    <row r="193" spans="6:9" ht="18" customHeight="1" x14ac:dyDescent="0.25">
      <c r="F193" s="117"/>
      <c r="G193" s="117"/>
      <c r="H193" s="117"/>
      <c r="I193" s="117"/>
    </row>
    <row r="194" spans="6:9" ht="18" customHeight="1" x14ac:dyDescent="0.25">
      <c r="F194" s="117"/>
      <c r="G194" s="117"/>
      <c r="H194" s="117"/>
      <c r="I194" s="117"/>
    </row>
    <row r="195" spans="6:9" ht="18" customHeight="1" x14ac:dyDescent="0.25">
      <c r="F195" s="117"/>
      <c r="G195" s="117"/>
      <c r="H195" s="117"/>
      <c r="I195" s="117"/>
    </row>
    <row r="196" spans="6:9" ht="18" customHeight="1" x14ac:dyDescent="0.25">
      <c r="F196" s="117"/>
      <c r="G196" s="117"/>
      <c r="H196" s="117"/>
      <c r="I196" s="117"/>
    </row>
    <row r="197" spans="6:9" ht="18" customHeight="1" x14ac:dyDescent="0.25">
      <c r="F197" s="117"/>
      <c r="G197" s="117"/>
      <c r="H197" s="117"/>
      <c r="I197" s="117"/>
    </row>
    <row r="198" spans="6:9" ht="18" customHeight="1" x14ac:dyDescent="0.25">
      <c r="F198" s="117"/>
      <c r="G198" s="117"/>
      <c r="H198" s="117"/>
      <c r="I198" s="117"/>
    </row>
    <row r="199" spans="6:9" ht="18" customHeight="1" x14ac:dyDescent="0.25">
      <c r="F199" s="117"/>
      <c r="G199" s="117"/>
      <c r="H199" s="117"/>
      <c r="I199" s="117"/>
    </row>
    <row r="200" spans="6:9" ht="18" customHeight="1" x14ac:dyDescent="0.25">
      <c r="F200" s="117"/>
      <c r="G200" s="117"/>
      <c r="H200" s="117"/>
      <c r="I200" s="117"/>
    </row>
    <row r="201" spans="6:9" ht="18" customHeight="1" x14ac:dyDescent="0.25">
      <c r="F201" s="117"/>
      <c r="G201" s="117"/>
      <c r="H201" s="117"/>
      <c r="I201" s="117"/>
    </row>
    <row r="202" spans="6:9" ht="18" customHeight="1" x14ac:dyDescent="0.25">
      <c r="F202" s="117"/>
      <c r="G202" s="117"/>
      <c r="H202" s="117"/>
      <c r="I202" s="117"/>
    </row>
    <row r="203" spans="6:9" ht="18" customHeight="1" x14ac:dyDescent="0.25">
      <c r="F203" s="117"/>
      <c r="G203" s="117"/>
      <c r="H203" s="117"/>
      <c r="I203" s="117"/>
    </row>
    <row r="204" spans="6:9" ht="18" customHeight="1" x14ac:dyDescent="0.25">
      <c r="F204" s="117"/>
      <c r="G204" s="117"/>
      <c r="H204" s="117"/>
      <c r="I204" s="117"/>
    </row>
    <row r="205" spans="6:9" ht="18" customHeight="1" x14ac:dyDescent="0.25">
      <c r="F205" s="117"/>
      <c r="G205" s="117"/>
      <c r="H205" s="117"/>
      <c r="I205" s="117"/>
    </row>
    <row r="206" spans="6:9" ht="18" customHeight="1" x14ac:dyDescent="0.25">
      <c r="F206" s="117"/>
      <c r="G206" s="117"/>
      <c r="H206" s="117"/>
      <c r="I206" s="117"/>
    </row>
    <row r="207" spans="6:9" ht="18" customHeight="1" x14ac:dyDescent="0.25">
      <c r="F207" s="117"/>
      <c r="G207" s="117"/>
      <c r="H207" s="117"/>
      <c r="I207" s="117"/>
    </row>
    <row r="208" spans="6:9" ht="18" customHeight="1" x14ac:dyDescent="0.25">
      <c r="F208" s="117"/>
      <c r="G208" s="117"/>
      <c r="H208" s="117"/>
      <c r="I208" s="117"/>
    </row>
    <row r="209" spans="6:9" ht="18" customHeight="1" x14ac:dyDescent="0.25">
      <c r="F209" s="117"/>
      <c r="G209" s="117"/>
      <c r="H209" s="117"/>
      <c r="I209" s="117"/>
    </row>
    <row r="210" spans="6:9" ht="18" customHeight="1" x14ac:dyDescent="0.25">
      <c r="F210" s="117"/>
      <c r="G210" s="117"/>
      <c r="H210" s="117"/>
      <c r="I210" s="117"/>
    </row>
    <row r="211" spans="6:9" ht="18" customHeight="1" x14ac:dyDescent="0.25">
      <c r="F211" s="117"/>
      <c r="G211" s="117"/>
      <c r="H211" s="117"/>
      <c r="I211" s="117"/>
    </row>
    <row r="212" spans="6:9" ht="18" customHeight="1" x14ac:dyDescent="0.25">
      <c r="F212" s="117"/>
      <c r="G212" s="117"/>
      <c r="H212" s="117"/>
      <c r="I212" s="117"/>
    </row>
    <row r="213" spans="6:9" ht="18" customHeight="1" x14ac:dyDescent="0.25">
      <c r="F213" s="117"/>
      <c r="G213" s="117"/>
      <c r="H213" s="117"/>
      <c r="I213" s="117"/>
    </row>
    <row r="214" spans="6:9" ht="18" customHeight="1" x14ac:dyDescent="0.25">
      <c r="F214" s="117"/>
      <c r="G214" s="117"/>
      <c r="H214" s="117"/>
      <c r="I214" s="117"/>
    </row>
    <row r="215" spans="6:9" ht="18" customHeight="1" x14ac:dyDescent="0.25">
      <c r="F215" s="117"/>
      <c r="G215" s="117"/>
      <c r="H215" s="117"/>
      <c r="I215" s="117"/>
    </row>
    <row r="216" spans="6:9" ht="18" customHeight="1" x14ac:dyDescent="0.25">
      <c r="F216" s="117"/>
      <c r="G216" s="117"/>
      <c r="H216" s="117"/>
      <c r="I216" s="117"/>
    </row>
    <row r="217" spans="6:9" ht="18" customHeight="1" x14ac:dyDescent="0.25">
      <c r="F217" s="117"/>
      <c r="G217" s="117"/>
      <c r="H217" s="117"/>
      <c r="I217" s="117"/>
    </row>
    <row r="218" spans="6:9" ht="18" customHeight="1" x14ac:dyDescent="0.25">
      <c r="F218" s="117"/>
      <c r="G218" s="117"/>
      <c r="H218" s="117"/>
      <c r="I218" s="117"/>
    </row>
    <row r="219" spans="6:9" ht="18" customHeight="1" x14ac:dyDescent="0.25">
      <c r="F219" s="117"/>
      <c r="G219" s="117"/>
      <c r="H219" s="117"/>
      <c r="I219" s="117"/>
    </row>
    <row r="220" spans="6:9" ht="18" customHeight="1" x14ac:dyDescent="0.25">
      <c r="F220" s="117"/>
      <c r="G220" s="117"/>
      <c r="H220" s="117"/>
      <c r="I220" s="117"/>
    </row>
    <row r="221" spans="6:9" ht="15.75" customHeight="1" x14ac:dyDescent="0.2"/>
    <row r="222" spans="6:9" ht="15.75" customHeight="1" x14ac:dyDescent="0.2"/>
    <row r="223" spans="6:9" ht="15.75" customHeight="1" x14ac:dyDescent="0.2"/>
    <row r="224" spans="6:9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2:A5"/>
    <mergeCell ref="B2:E5"/>
    <mergeCell ref="B8:C8"/>
  </mergeCells>
  <pageMargins left="0.75000000000000011" right="0.75000000000000011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baseColWidth="10" defaultColWidth="14.42578125" defaultRowHeight="15" customHeight="1" x14ac:dyDescent="0.2"/>
  <cols>
    <col min="1" max="6" width="10.8554687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4.42578125" defaultRowHeight="15" customHeight="1" x14ac:dyDescent="0.2"/>
  <cols>
    <col min="1" max="1" width="51.85546875" customWidth="1"/>
    <col min="2" max="5" width="10.85546875" customWidth="1"/>
    <col min="6" max="6" width="38.140625" customWidth="1"/>
    <col min="7" max="26" width="10.85546875" customWidth="1"/>
  </cols>
  <sheetData>
    <row r="1" spans="1:26" ht="31.5" customHeight="1" x14ac:dyDescent="0.2">
      <c r="A1" s="130" t="s">
        <v>255</v>
      </c>
      <c r="B1" s="130" t="s">
        <v>230</v>
      </c>
      <c r="C1" s="130" t="s">
        <v>256</v>
      </c>
      <c r="D1" s="130" t="s">
        <v>257</v>
      </c>
      <c r="E1" s="130" t="s">
        <v>258</v>
      </c>
      <c r="F1" s="130" t="s">
        <v>259</v>
      </c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2.75" customHeight="1" x14ac:dyDescent="0.2">
      <c r="A2" s="132" t="s">
        <v>260</v>
      </c>
      <c r="B2" s="133"/>
      <c r="C2" s="133" t="s">
        <v>25</v>
      </c>
      <c r="D2" s="133" t="s">
        <v>25</v>
      </c>
      <c r="E2" s="133"/>
      <c r="F2" s="52" t="s">
        <v>261</v>
      </c>
    </row>
    <row r="3" spans="1:26" ht="12.75" customHeight="1" x14ac:dyDescent="0.2">
      <c r="A3" s="132" t="s">
        <v>262</v>
      </c>
      <c r="B3" s="133"/>
      <c r="C3" s="133"/>
      <c r="D3" s="133" t="s">
        <v>25</v>
      </c>
      <c r="E3" s="133"/>
      <c r="F3" s="52" t="s">
        <v>263</v>
      </c>
    </row>
    <row r="4" spans="1:26" ht="12.75" customHeight="1" x14ac:dyDescent="0.2">
      <c r="A4" s="132" t="s">
        <v>264</v>
      </c>
      <c r="B4" s="133"/>
      <c r="C4" s="133" t="s">
        <v>25</v>
      </c>
      <c r="D4" s="133" t="s">
        <v>25</v>
      </c>
      <c r="E4" s="133"/>
      <c r="F4" s="52" t="s">
        <v>265</v>
      </c>
    </row>
    <row r="5" spans="1:26" ht="12.75" customHeight="1" x14ac:dyDescent="0.2">
      <c r="A5" s="132" t="s">
        <v>266</v>
      </c>
      <c r="B5" s="133"/>
      <c r="C5" s="133"/>
      <c r="D5" s="133" t="s">
        <v>25</v>
      </c>
      <c r="E5" s="133"/>
      <c r="F5" s="52" t="s">
        <v>267</v>
      </c>
    </row>
    <row r="6" spans="1:26" ht="12.75" customHeight="1" x14ac:dyDescent="0.2">
      <c r="A6" s="132" t="s">
        <v>268</v>
      </c>
      <c r="B6" s="133"/>
      <c r="C6" s="133" t="s">
        <v>25</v>
      </c>
      <c r="D6" s="133" t="s">
        <v>25</v>
      </c>
      <c r="E6" s="133"/>
      <c r="F6" s="52" t="s">
        <v>263</v>
      </c>
    </row>
    <row r="7" spans="1:26" ht="12.75" customHeight="1" x14ac:dyDescent="0.2">
      <c r="A7" s="132" t="s">
        <v>269</v>
      </c>
      <c r="B7" s="133"/>
      <c r="C7" s="133" t="s">
        <v>25</v>
      </c>
      <c r="D7" s="133" t="s">
        <v>25</v>
      </c>
      <c r="E7" s="133"/>
      <c r="F7" s="52" t="s">
        <v>270</v>
      </c>
    </row>
    <row r="8" spans="1:26" ht="12.75" customHeight="1" x14ac:dyDescent="0.2">
      <c r="A8" s="132" t="s">
        <v>271</v>
      </c>
      <c r="B8" s="133"/>
      <c r="C8" s="133" t="s">
        <v>25</v>
      </c>
      <c r="D8" s="133" t="s">
        <v>25</v>
      </c>
      <c r="E8" s="133"/>
      <c r="F8" s="52" t="s">
        <v>267</v>
      </c>
    </row>
    <row r="9" spans="1:26" ht="12.75" customHeight="1" x14ac:dyDescent="0.2">
      <c r="A9" s="132" t="s">
        <v>272</v>
      </c>
      <c r="B9" s="133" t="s">
        <v>25</v>
      </c>
      <c r="C9" s="133" t="s">
        <v>25</v>
      </c>
      <c r="D9" s="133" t="s">
        <v>25</v>
      </c>
      <c r="E9" s="133"/>
      <c r="F9" s="52" t="s">
        <v>273</v>
      </c>
    </row>
    <row r="10" spans="1:26" ht="12.75" customHeight="1" x14ac:dyDescent="0.2">
      <c r="A10" s="132" t="s">
        <v>274</v>
      </c>
      <c r="B10" s="133"/>
      <c r="C10" s="133"/>
      <c r="D10" s="133"/>
      <c r="E10" s="133" t="s">
        <v>25</v>
      </c>
      <c r="F10" s="52" t="s">
        <v>275</v>
      </c>
    </row>
    <row r="11" spans="1:26" ht="12.75" customHeight="1" x14ac:dyDescent="0.2"/>
    <row r="12" spans="1:26" ht="12.75" customHeight="1" x14ac:dyDescent="0.2"/>
    <row r="13" spans="1:26" ht="12.75" customHeight="1" x14ac:dyDescent="0.2"/>
    <row r="14" spans="1:26" ht="12.75" customHeight="1" x14ac:dyDescent="0.2"/>
    <row r="15" spans="1:26" ht="12.75" customHeight="1" x14ac:dyDescent="0.2"/>
    <row r="16" spans="1:2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1000"/>
  <sheetViews>
    <sheetView workbookViewId="0"/>
  </sheetViews>
  <sheetFormatPr baseColWidth="10" defaultColWidth="14.42578125" defaultRowHeight="15" customHeight="1" x14ac:dyDescent="0.2"/>
  <cols>
    <col min="1" max="1" width="35.140625" customWidth="1"/>
    <col min="2" max="5" width="27.85546875" customWidth="1"/>
    <col min="6" max="6" width="10.85546875" customWidth="1"/>
  </cols>
  <sheetData>
    <row r="1" spans="1:5" ht="60" customHeight="1" x14ac:dyDescent="0.2">
      <c r="A1" s="134" t="s">
        <v>255</v>
      </c>
      <c r="B1" s="135" t="s">
        <v>276</v>
      </c>
      <c r="C1" s="135" t="s">
        <v>277</v>
      </c>
      <c r="D1" s="135" t="s">
        <v>278</v>
      </c>
      <c r="E1" s="136" t="s">
        <v>279</v>
      </c>
    </row>
    <row r="2" spans="1:5" ht="12.75" customHeight="1" x14ac:dyDescent="0.2">
      <c r="A2" s="137" t="s">
        <v>280</v>
      </c>
      <c r="B2" s="138" t="s">
        <v>281</v>
      </c>
      <c r="C2" s="138" t="s">
        <v>282</v>
      </c>
      <c r="D2" s="138" t="s">
        <v>283</v>
      </c>
      <c r="E2" s="139" t="s">
        <v>284</v>
      </c>
    </row>
    <row r="3" spans="1:5" ht="12.75" customHeight="1" x14ac:dyDescent="0.2">
      <c r="A3" s="140" t="s">
        <v>285</v>
      </c>
      <c r="B3" s="141" t="s">
        <v>286</v>
      </c>
      <c r="C3" s="141" t="s">
        <v>287</v>
      </c>
      <c r="D3" s="141" t="s">
        <v>288</v>
      </c>
      <c r="E3" s="142" t="s">
        <v>289</v>
      </c>
    </row>
    <row r="4" spans="1:5" ht="78" customHeight="1" x14ac:dyDescent="0.2">
      <c r="A4" s="140" t="s">
        <v>290</v>
      </c>
      <c r="B4" s="141" t="s">
        <v>291</v>
      </c>
      <c r="C4" s="141" t="s">
        <v>292</v>
      </c>
      <c r="D4" s="141" t="s">
        <v>293</v>
      </c>
      <c r="E4" s="142" t="s">
        <v>294</v>
      </c>
    </row>
    <row r="5" spans="1:5" ht="12.75" customHeight="1" x14ac:dyDescent="0.2">
      <c r="A5" s="140" t="s">
        <v>295</v>
      </c>
      <c r="B5" s="141" t="s">
        <v>296</v>
      </c>
      <c r="C5" s="141" t="s">
        <v>297</v>
      </c>
      <c r="D5" s="141" t="s">
        <v>298</v>
      </c>
      <c r="E5" s="142" t="s">
        <v>299</v>
      </c>
    </row>
    <row r="6" spans="1:5" ht="12.75" customHeight="1" x14ac:dyDescent="0.2">
      <c r="A6" s="140" t="s">
        <v>300</v>
      </c>
      <c r="B6" s="141" t="s">
        <v>301</v>
      </c>
      <c r="C6" s="141" t="s">
        <v>302</v>
      </c>
      <c r="D6" s="141" t="s">
        <v>303</v>
      </c>
      <c r="E6" s="142" t="s">
        <v>304</v>
      </c>
    </row>
    <row r="7" spans="1:5" ht="12.75" customHeight="1" x14ac:dyDescent="0.2">
      <c r="A7" s="140" t="s">
        <v>305</v>
      </c>
      <c r="B7" s="141" t="s">
        <v>306</v>
      </c>
      <c r="C7" s="141" t="s">
        <v>307</v>
      </c>
      <c r="D7" s="141" t="s">
        <v>308</v>
      </c>
      <c r="E7" s="142" t="s">
        <v>309</v>
      </c>
    </row>
    <row r="8" spans="1:5" ht="12.75" customHeight="1" x14ac:dyDescent="0.2">
      <c r="A8" s="140" t="s">
        <v>310</v>
      </c>
      <c r="B8" s="141" t="s">
        <v>311</v>
      </c>
      <c r="C8" s="141" t="s">
        <v>312</v>
      </c>
      <c r="D8" s="141" t="s">
        <v>313</v>
      </c>
      <c r="E8" s="142" t="s">
        <v>314</v>
      </c>
    </row>
    <row r="9" spans="1:5" ht="12.75" customHeight="1" x14ac:dyDescent="0.2">
      <c r="A9" s="140" t="s">
        <v>315</v>
      </c>
      <c r="B9" s="141" t="s">
        <v>316</v>
      </c>
      <c r="C9" s="141" t="s">
        <v>317</v>
      </c>
      <c r="D9" s="141" t="s">
        <v>318</v>
      </c>
      <c r="E9" s="142" t="s">
        <v>319</v>
      </c>
    </row>
    <row r="10" spans="1:5" ht="12.75" customHeight="1" x14ac:dyDescent="0.2">
      <c r="A10" s="140" t="s">
        <v>320</v>
      </c>
      <c r="B10" s="217" t="s">
        <v>321</v>
      </c>
      <c r="C10" s="218"/>
      <c r="D10" s="218"/>
      <c r="E10" s="219"/>
    </row>
    <row r="11" spans="1:5" ht="12.75" customHeight="1" x14ac:dyDescent="0.2">
      <c r="A11" s="143" t="s">
        <v>322</v>
      </c>
      <c r="B11" s="144" t="s">
        <v>323</v>
      </c>
      <c r="C11" s="144" t="s">
        <v>324</v>
      </c>
      <c r="D11" s="144" t="s">
        <v>325</v>
      </c>
      <c r="E11" s="145" t="s">
        <v>326</v>
      </c>
    </row>
    <row r="12" spans="1:5" ht="12.75" customHeight="1" x14ac:dyDescent="0.2"/>
    <row r="13" spans="1:5" ht="12.75" customHeight="1" x14ac:dyDescent="0.2"/>
    <row r="14" spans="1:5" ht="12.75" customHeight="1" x14ac:dyDescent="0.2"/>
    <row r="15" spans="1:5" ht="12.75" customHeight="1" x14ac:dyDescent="0.2"/>
    <row r="16" spans="1: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0:E1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INFORMACIÓN_GENERAL</vt:lpstr>
      <vt:lpstr>EVALUACION</vt:lpstr>
      <vt:lpstr>Rúbrica</vt:lpstr>
      <vt:lpstr>MAPEO</vt:lpstr>
      <vt:lpstr>ASSESSMENT</vt:lpstr>
      <vt:lpstr>Rúbrica_JURADO</vt:lpstr>
      <vt:lpstr>Rubrica Seguimiento</vt:lpstr>
      <vt:lpstr>Hoja1</vt:lpstr>
      <vt:lpstr>Matriz de cruce Meritorio</vt:lpstr>
      <vt:lpstr>Ribrica Meritoria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Andres Moncada Quintero</dc:creator>
  <cp:lastModifiedBy>Jose Andres Moncada Quintero</cp:lastModifiedBy>
  <dcterms:created xsi:type="dcterms:W3CDTF">2026-02-08T15:44:17Z</dcterms:created>
  <dcterms:modified xsi:type="dcterms:W3CDTF">2026-02-08T15:44:17Z</dcterms:modified>
</cp:coreProperties>
</file>